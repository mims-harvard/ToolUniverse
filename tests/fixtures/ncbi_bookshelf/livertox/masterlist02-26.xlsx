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hoofnaglej_nih_gov/Documents/"/>
    </mc:Choice>
  </mc:AlternateContent>
  <xr:revisionPtr revIDLastSave="0" documentId="8_{56710CE4-FDE2-48AB-924C-540BD94F3766}" xr6:coauthVersionLast="47" xr6:coauthVersionMax="47" xr10:uidLastSave="{00000000-0000-0000-0000-000000000000}"/>
  <bookViews>
    <workbookView xWindow="-110" yWindow="-110" windowWidth="19420" windowHeight="11500" xr2:uid="{ADD28C77-BAB1-4555-9C0B-8B8833545404}"/>
  </bookViews>
  <sheets>
    <sheet name="Sheet1" sheetId="1" r:id="rId1"/>
  </sheets>
  <definedNames>
    <definedName name="_xlnm.Print_Area" localSheetId="0">Sheet1!$A$3:$J$1717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13" i="1" l="1"/>
  <c r="J1712" i="1"/>
  <c r="I1712" i="1"/>
  <c r="H1712" i="1"/>
  <c r="G1712" i="1"/>
  <c r="D1712" i="1"/>
  <c r="C1712" i="1"/>
  <c r="B1712" i="1"/>
  <c r="A1712" i="1"/>
  <c r="F1707" i="1"/>
  <c r="E1707" i="1"/>
  <c r="F1705" i="1"/>
  <c r="E1705" i="1"/>
  <c r="F1704" i="1"/>
  <c r="F1702" i="1"/>
  <c r="F1700" i="1"/>
  <c r="E1700" i="1"/>
  <c r="F1699" i="1"/>
  <c r="E1699" i="1"/>
  <c r="F1697" i="1"/>
  <c r="E1697" i="1"/>
  <c r="F1695" i="1"/>
  <c r="E1695" i="1"/>
  <c r="F1693" i="1"/>
  <c r="F1692" i="1"/>
  <c r="E1692" i="1"/>
  <c r="F1690" i="1"/>
  <c r="E1690" i="1"/>
  <c r="F1689" i="1"/>
  <c r="E1689" i="1"/>
  <c r="F1687" i="1"/>
  <c r="E1687" i="1"/>
  <c r="F1686" i="1"/>
  <c r="E1686" i="1"/>
  <c r="F1685" i="1"/>
  <c r="F1684" i="1"/>
  <c r="F1683" i="1"/>
  <c r="E1683" i="1"/>
  <c r="F1682" i="1"/>
  <c r="F1681" i="1"/>
  <c r="F1680" i="1"/>
  <c r="E1680" i="1"/>
  <c r="F1679" i="1"/>
  <c r="F1678" i="1"/>
  <c r="F1677" i="1"/>
  <c r="E1677" i="1"/>
  <c r="F1676" i="1"/>
  <c r="E1676" i="1"/>
  <c r="F1675" i="1"/>
  <c r="E1675" i="1"/>
  <c r="F1674" i="1"/>
  <c r="F1673" i="1"/>
  <c r="E1673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F1663" i="1"/>
  <c r="F1662" i="1"/>
  <c r="F1660" i="1"/>
  <c r="F1659" i="1"/>
  <c r="F1658" i="1"/>
  <c r="E1658" i="1"/>
  <c r="F1657" i="1"/>
  <c r="E1657" i="1"/>
  <c r="F1656" i="1"/>
  <c r="F1654" i="1"/>
  <c r="F1653" i="1"/>
  <c r="E1653" i="1"/>
  <c r="F1652" i="1"/>
  <c r="E1652" i="1"/>
  <c r="F1651" i="1"/>
  <c r="E1651" i="1"/>
  <c r="F1650" i="1"/>
  <c r="E1650" i="1"/>
  <c r="F1649" i="1"/>
  <c r="F1648" i="1"/>
  <c r="F1647" i="1"/>
  <c r="E1647" i="1"/>
  <c r="F1646" i="1"/>
  <c r="E1646" i="1"/>
  <c r="F1645" i="1"/>
  <c r="E1645" i="1"/>
  <c r="F1644" i="1"/>
  <c r="F1643" i="1"/>
  <c r="E1643" i="1"/>
  <c r="F1642" i="1"/>
  <c r="E1642" i="1"/>
  <c r="F1641" i="1"/>
  <c r="F1640" i="1"/>
  <c r="E1640" i="1"/>
  <c r="F1639" i="1"/>
  <c r="E1639" i="1"/>
  <c r="F1638" i="1"/>
  <c r="E1638" i="1"/>
  <c r="F1637" i="1"/>
  <c r="F1636" i="1"/>
  <c r="E1636" i="1"/>
  <c r="F1635" i="1"/>
  <c r="F1634" i="1"/>
  <c r="E1634" i="1"/>
  <c r="F1631" i="1"/>
  <c r="E1631" i="1"/>
  <c r="F1630" i="1"/>
  <c r="E1630" i="1"/>
  <c r="F1629" i="1"/>
  <c r="E1629" i="1"/>
  <c r="F1628" i="1"/>
  <c r="E1628" i="1"/>
  <c r="F1627" i="1"/>
  <c r="E1627" i="1"/>
  <c r="F1626" i="1"/>
  <c r="F1625" i="1"/>
  <c r="F1624" i="1"/>
  <c r="E1624" i="1"/>
  <c r="F1623" i="1"/>
  <c r="F1622" i="1"/>
  <c r="E1622" i="1"/>
  <c r="F1621" i="1"/>
  <c r="F1619" i="1"/>
  <c r="E1619" i="1"/>
  <c r="F1618" i="1"/>
  <c r="E1618" i="1"/>
  <c r="F1616" i="1"/>
  <c r="E1616" i="1"/>
  <c r="F1615" i="1"/>
  <c r="E1615" i="1"/>
  <c r="F1614" i="1"/>
  <c r="E1614" i="1"/>
  <c r="F1613" i="1"/>
  <c r="E1613" i="1"/>
  <c r="F1612" i="1"/>
  <c r="E1612" i="1"/>
  <c r="F1611" i="1"/>
  <c r="F1610" i="1"/>
  <c r="E1610" i="1"/>
  <c r="F1609" i="1"/>
  <c r="F1608" i="1"/>
  <c r="F1607" i="1"/>
  <c r="E1607" i="1"/>
  <c r="F1606" i="1"/>
  <c r="F1605" i="1"/>
  <c r="E1605" i="1"/>
  <c r="F1604" i="1"/>
  <c r="E1604" i="1"/>
  <c r="F1603" i="1"/>
  <c r="E1603" i="1"/>
  <c r="F1602" i="1"/>
  <c r="E1602" i="1"/>
  <c r="F1601" i="1"/>
  <c r="F1600" i="1"/>
  <c r="E1600" i="1"/>
  <c r="F1599" i="1"/>
  <c r="E1599" i="1"/>
  <c r="F1598" i="1"/>
  <c r="F1597" i="1"/>
  <c r="F1596" i="1"/>
  <c r="F1594" i="1"/>
  <c r="F1593" i="1"/>
  <c r="E1593" i="1"/>
  <c r="F1592" i="1"/>
  <c r="F1591" i="1"/>
  <c r="F1590" i="1"/>
  <c r="F1589" i="1"/>
  <c r="E1589" i="1"/>
  <c r="F1587" i="1"/>
  <c r="E1587" i="1"/>
  <c r="F1586" i="1"/>
  <c r="E1586" i="1"/>
  <c r="F1585" i="1"/>
  <c r="E1585" i="1"/>
  <c r="F1584" i="1"/>
  <c r="F1583" i="1"/>
  <c r="E1583" i="1"/>
  <c r="F1582" i="1"/>
  <c r="F1581" i="1"/>
  <c r="E1581" i="1"/>
  <c r="F1580" i="1"/>
  <c r="F1579" i="1"/>
  <c r="E1579" i="1"/>
  <c r="F1578" i="1"/>
  <c r="F1577" i="1"/>
  <c r="E1577" i="1"/>
  <c r="F1576" i="1"/>
  <c r="F1575" i="1"/>
  <c r="E1575" i="1"/>
  <c r="F1574" i="1"/>
  <c r="E1574" i="1"/>
  <c r="F1573" i="1"/>
  <c r="E1573" i="1"/>
  <c r="F1572" i="1"/>
  <c r="E1572" i="1"/>
  <c r="F1571" i="1"/>
  <c r="E1571" i="1"/>
  <c r="F1570" i="1"/>
  <c r="F1569" i="1"/>
  <c r="F1568" i="1"/>
  <c r="E1568" i="1"/>
  <c r="F1567" i="1"/>
  <c r="E1567" i="1"/>
  <c r="F1566" i="1"/>
  <c r="E1566" i="1"/>
  <c r="F1565" i="1"/>
  <c r="E1565" i="1"/>
  <c r="F1564" i="1"/>
  <c r="F1563" i="1"/>
  <c r="F1561" i="1"/>
  <c r="F1559" i="1"/>
  <c r="E1559" i="1"/>
  <c r="F1558" i="1"/>
  <c r="E1558" i="1"/>
  <c r="F1557" i="1"/>
  <c r="F1556" i="1"/>
  <c r="F1555" i="1"/>
  <c r="E1555" i="1"/>
  <c r="F1554" i="1"/>
  <c r="F1553" i="1"/>
  <c r="E1553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F1542" i="1"/>
  <c r="E1542" i="1"/>
  <c r="F1540" i="1"/>
  <c r="E1540" i="1"/>
  <c r="F1539" i="1"/>
  <c r="E1539" i="1"/>
  <c r="F1538" i="1"/>
  <c r="F1537" i="1"/>
  <c r="E1537" i="1"/>
  <c r="F1536" i="1"/>
  <c r="F1535" i="1"/>
  <c r="E1535" i="1"/>
  <c r="F1534" i="1"/>
  <c r="E1534" i="1"/>
  <c r="F1533" i="1"/>
  <c r="E1533" i="1"/>
  <c r="F1532" i="1"/>
  <c r="F1531" i="1"/>
  <c r="F1530" i="1"/>
  <c r="E1530" i="1"/>
  <c r="F1529" i="1"/>
  <c r="F1528" i="1"/>
  <c r="F1526" i="1"/>
  <c r="E1526" i="1"/>
  <c r="F1523" i="1"/>
  <c r="E1523" i="1"/>
  <c r="F1522" i="1"/>
  <c r="E1522" i="1"/>
  <c r="F1521" i="1"/>
  <c r="F1520" i="1"/>
  <c r="E1520" i="1"/>
  <c r="F1519" i="1"/>
  <c r="E1519" i="1"/>
  <c r="E1518" i="1"/>
  <c r="F1517" i="1"/>
  <c r="F1516" i="1"/>
  <c r="F1515" i="1"/>
  <c r="E1515" i="1"/>
  <c r="F1514" i="1"/>
  <c r="F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5" i="1"/>
  <c r="E1505" i="1"/>
  <c r="F1504" i="1"/>
  <c r="F1503" i="1"/>
  <c r="E1503" i="1"/>
  <c r="F1502" i="1"/>
  <c r="F1501" i="1"/>
  <c r="E1501" i="1"/>
  <c r="F1500" i="1"/>
  <c r="F1499" i="1"/>
  <c r="F1498" i="1"/>
  <c r="F1497" i="1"/>
  <c r="F1496" i="1"/>
  <c r="F1495" i="1"/>
  <c r="E1495" i="1"/>
  <c r="F1493" i="1"/>
  <c r="F1491" i="1"/>
  <c r="E1491" i="1"/>
  <c r="F1490" i="1"/>
  <c r="E1490" i="1"/>
  <c r="F1488" i="1"/>
  <c r="F1486" i="1"/>
  <c r="E1486" i="1"/>
  <c r="F1485" i="1"/>
  <c r="E1485" i="1"/>
  <c r="F1484" i="1"/>
  <c r="E1484" i="1"/>
  <c r="F1483" i="1"/>
  <c r="F1482" i="1"/>
  <c r="F1481" i="1"/>
  <c r="E1481" i="1"/>
  <c r="F1480" i="1"/>
  <c r="E1480" i="1"/>
  <c r="F1479" i="1"/>
  <c r="E1479" i="1"/>
  <c r="F1478" i="1"/>
  <c r="F1477" i="1"/>
  <c r="F1476" i="1"/>
  <c r="E1476" i="1"/>
  <c r="F1474" i="1"/>
  <c r="E1474" i="1"/>
  <c r="F1473" i="1"/>
  <c r="F1471" i="1"/>
  <c r="E1471" i="1"/>
  <c r="F1470" i="1"/>
  <c r="F1469" i="1"/>
  <c r="F1468" i="1"/>
  <c r="E1468" i="1"/>
  <c r="F1467" i="1"/>
  <c r="E1467" i="1"/>
  <c r="F1466" i="1"/>
  <c r="F1465" i="1"/>
  <c r="E1465" i="1"/>
  <c r="F1464" i="1"/>
  <c r="F1463" i="1"/>
  <c r="E1463" i="1"/>
  <c r="F1462" i="1"/>
  <c r="E1462" i="1"/>
  <c r="F1461" i="1"/>
  <c r="F1460" i="1"/>
  <c r="F1458" i="1"/>
  <c r="E1458" i="1"/>
  <c r="F1457" i="1"/>
  <c r="E1457" i="1"/>
  <c r="F1456" i="1"/>
  <c r="E1456" i="1"/>
  <c r="F1455" i="1"/>
  <c r="E1455" i="1"/>
  <c r="F1454" i="1"/>
  <c r="F1453" i="1"/>
  <c r="F1452" i="1"/>
  <c r="E1452" i="1"/>
  <c r="F1451" i="1"/>
  <c r="F1450" i="1"/>
  <c r="E1450" i="1"/>
  <c r="F1449" i="1"/>
  <c r="E1449" i="1"/>
  <c r="F1448" i="1"/>
  <c r="E1448" i="1"/>
  <c r="F1444" i="1"/>
  <c r="F1442" i="1"/>
  <c r="E1442" i="1"/>
  <c r="F1440" i="1"/>
  <c r="E1440" i="1"/>
  <c r="F1439" i="1"/>
  <c r="E1439" i="1"/>
  <c r="F1437" i="1"/>
  <c r="F1436" i="1"/>
  <c r="E1436" i="1"/>
  <c r="F1435" i="1"/>
  <c r="E1435" i="1"/>
  <c r="F1434" i="1"/>
  <c r="E1434" i="1"/>
  <c r="F1433" i="1"/>
  <c r="F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4" i="1"/>
  <c r="E1424" i="1"/>
  <c r="F1423" i="1"/>
  <c r="E1423" i="1"/>
  <c r="F1422" i="1"/>
  <c r="E1422" i="1"/>
  <c r="F1421" i="1"/>
  <c r="F1420" i="1"/>
  <c r="E1420" i="1"/>
  <c r="F1419" i="1"/>
  <c r="E1419" i="1"/>
  <c r="F1417" i="1"/>
  <c r="F1416" i="1"/>
  <c r="E1416" i="1"/>
  <c r="F1415" i="1"/>
  <c r="E1415" i="1"/>
  <c r="F1412" i="1"/>
  <c r="F1411" i="1"/>
  <c r="E1411" i="1"/>
  <c r="F1409" i="1"/>
  <c r="E1409" i="1"/>
  <c r="F1408" i="1"/>
  <c r="E1408" i="1"/>
  <c r="F1407" i="1"/>
  <c r="E1407" i="1"/>
  <c r="F1406" i="1"/>
  <c r="F1405" i="1"/>
  <c r="F1404" i="1"/>
  <c r="E1404" i="1"/>
  <c r="F1403" i="1"/>
  <c r="F1402" i="1"/>
  <c r="E1402" i="1"/>
  <c r="F1401" i="1"/>
  <c r="F1400" i="1"/>
  <c r="E1400" i="1"/>
  <c r="F1399" i="1"/>
  <c r="F1398" i="1"/>
  <c r="E1398" i="1"/>
  <c r="F1396" i="1"/>
  <c r="E1396" i="1"/>
  <c r="F1395" i="1"/>
  <c r="E1395" i="1"/>
  <c r="F1394" i="1"/>
  <c r="E1394" i="1"/>
  <c r="F1393" i="1"/>
  <c r="E1393" i="1"/>
  <c r="F1392" i="1"/>
  <c r="F1391" i="1"/>
  <c r="F1390" i="1"/>
  <c r="F1389" i="1"/>
  <c r="E1389" i="1"/>
  <c r="F1388" i="1"/>
  <c r="F1387" i="1"/>
  <c r="E1387" i="1"/>
  <c r="F1386" i="1"/>
  <c r="E1386" i="1"/>
  <c r="F1385" i="1"/>
  <c r="E1385" i="1"/>
  <c r="F1384" i="1"/>
  <c r="F1383" i="1"/>
  <c r="F1382" i="1"/>
  <c r="E1382" i="1"/>
  <c r="F1380" i="1"/>
  <c r="F1379" i="1"/>
  <c r="F1378" i="1"/>
  <c r="E1378" i="1"/>
  <c r="F1377" i="1"/>
  <c r="E1377" i="1"/>
  <c r="F1376" i="1"/>
  <c r="E1376" i="1"/>
  <c r="F1374" i="1"/>
  <c r="F1373" i="1"/>
  <c r="E1373" i="1"/>
  <c r="F1372" i="1"/>
  <c r="E1372" i="1"/>
  <c r="F1371" i="1"/>
  <c r="E1371" i="1"/>
  <c r="F1370" i="1"/>
  <c r="F1369" i="1"/>
  <c r="E1369" i="1"/>
  <c r="F1368" i="1"/>
  <c r="E1368" i="1"/>
  <c r="F1367" i="1"/>
  <c r="F1366" i="1"/>
  <c r="E1366" i="1"/>
  <c r="F1365" i="1"/>
  <c r="E1365" i="1"/>
  <c r="F1364" i="1"/>
  <c r="E1364" i="1"/>
  <c r="F1363" i="1"/>
  <c r="E1363" i="1"/>
  <c r="F1362" i="1"/>
  <c r="F1361" i="1"/>
  <c r="E1361" i="1"/>
  <c r="F1360" i="1"/>
  <c r="E1360" i="1"/>
  <c r="F1359" i="1"/>
  <c r="E1359" i="1"/>
  <c r="F1358" i="1"/>
  <c r="E1358" i="1"/>
  <c r="F1357" i="1"/>
  <c r="F1356" i="1"/>
  <c r="E1356" i="1"/>
  <c r="F1355" i="1"/>
  <c r="F1354" i="1"/>
  <c r="F1353" i="1"/>
  <c r="E1353" i="1"/>
  <c r="F1352" i="1"/>
  <c r="F1351" i="1"/>
  <c r="E1351" i="1"/>
  <c r="F1350" i="1"/>
  <c r="E1350" i="1"/>
  <c r="F1349" i="1"/>
  <c r="E1349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F1338" i="1"/>
  <c r="E1338" i="1"/>
  <c r="F1337" i="1"/>
  <c r="E1337" i="1"/>
  <c r="F1335" i="1"/>
  <c r="F1334" i="1"/>
  <c r="E1334" i="1"/>
  <c r="F1332" i="1"/>
  <c r="E1332" i="1"/>
  <c r="F1331" i="1"/>
  <c r="F1330" i="1"/>
  <c r="E1330" i="1"/>
  <c r="F1329" i="1"/>
  <c r="E1329" i="1"/>
  <c r="F1328" i="1"/>
  <c r="F1327" i="1"/>
  <c r="E1327" i="1"/>
  <c r="F1326" i="1"/>
  <c r="F1325" i="1"/>
  <c r="E1323" i="1"/>
  <c r="F1322" i="1"/>
  <c r="F1321" i="1"/>
  <c r="E1321" i="1"/>
  <c r="F1320" i="1"/>
  <c r="F1319" i="1"/>
  <c r="E1319" i="1"/>
  <c r="F1318" i="1"/>
  <c r="F1317" i="1"/>
  <c r="E1317" i="1"/>
  <c r="F1316" i="1"/>
  <c r="E1316" i="1"/>
  <c r="F1315" i="1"/>
  <c r="E1315" i="1"/>
  <c r="F1314" i="1"/>
  <c r="E1314" i="1"/>
  <c r="F1313" i="1"/>
  <c r="E1313" i="1"/>
  <c r="F1312" i="1"/>
  <c r="F1311" i="1"/>
  <c r="E1311" i="1"/>
  <c r="F1310" i="1"/>
  <c r="E1310" i="1"/>
  <c r="F1309" i="1"/>
  <c r="E1309" i="1"/>
  <c r="F1308" i="1"/>
  <c r="E1308" i="1"/>
  <c r="F1307" i="1"/>
  <c r="F1306" i="1"/>
  <c r="E1306" i="1"/>
  <c r="F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F1296" i="1"/>
  <c r="F1294" i="1"/>
  <c r="E1294" i="1"/>
  <c r="F1293" i="1"/>
  <c r="E1293" i="1"/>
  <c r="F1291" i="1"/>
  <c r="E1291" i="1"/>
  <c r="F1289" i="1"/>
  <c r="E1289" i="1"/>
  <c r="F1288" i="1"/>
  <c r="E1288" i="1"/>
  <c r="F1287" i="1"/>
  <c r="E1287" i="1"/>
  <c r="F1286" i="1"/>
  <c r="E1286" i="1"/>
  <c r="F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F1270" i="1"/>
  <c r="E1270" i="1"/>
  <c r="F1269" i="1"/>
  <c r="E1269" i="1"/>
  <c r="F1268" i="1"/>
  <c r="F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F1259" i="1"/>
  <c r="E1259" i="1"/>
  <c r="F1257" i="1"/>
  <c r="E1257" i="1"/>
  <c r="F1256" i="1"/>
  <c r="E1256" i="1"/>
  <c r="F1255" i="1"/>
  <c r="E1255" i="1"/>
  <c r="F1254" i="1"/>
  <c r="E1254" i="1"/>
  <c r="F1253" i="1"/>
  <c r="F1252" i="1"/>
  <c r="E1252" i="1"/>
  <c r="F1251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F1242" i="1"/>
  <c r="E1242" i="1"/>
  <c r="F1241" i="1"/>
  <c r="E1241" i="1"/>
  <c r="F1240" i="1"/>
  <c r="F1239" i="1"/>
  <c r="E1239" i="1"/>
  <c r="F1238" i="1"/>
  <c r="E1238" i="1"/>
  <c r="F1237" i="1"/>
  <c r="E1237" i="1"/>
  <c r="F1236" i="1"/>
  <c r="F1235" i="1"/>
  <c r="E1235" i="1"/>
  <c r="F1234" i="1"/>
  <c r="E1234" i="1"/>
  <c r="F1233" i="1"/>
  <c r="E1233" i="1"/>
  <c r="F1232" i="1"/>
  <c r="E1232" i="1"/>
  <c r="F1231" i="1"/>
  <c r="F1230" i="1"/>
  <c r="F1228" i="1"/>
  <c r="E1228" i="1"/>
  <c r="F1227" i="1"/>
  <c r="E1227" i="1"/>
  <c r="F1225" i="1"/>
  <c r="F1224" i="1"/>
  <c r="F1223" i="1"/>
  <c r="E1223" i="1"/>
  <c r="E1222" i="1"/>
  <c r="F1221" i="1"/>
  <c r="E1221" i="1"/>
  <c r="F1219" i="1"/>
  <c r="E1219" i="1"/>
  <c r="F1217" i="1"/>
  <c r="E1217" i="1"/>
  <c r="F1215" i="1"/>
  <c r="E1215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4" i="1"/>
  <c r="F1203" i="1"/>
  <c r="E1203" i="1"/>
  <c r="F1202" i="1"/>
  <c r="E1202" i="1"/>
  <c r="F1200" i="1"/>
  <c r="E1200" i="1"/>
  <c r="F1199" i="1"/>
  <c r="E1199" i="1"/>
  <c r="F1198" i="1"/>
  <c r="E1198" i="1"/>
  <c r="F1197" i="1"/>
  <c r="E1197" i="1"/>
  <c r="F1195" i="1"/>
  <c r="F1194" i="1"/>
  <c r="E1194" i="1"/>
  <c r="F1193" i="1"/>
  <c r="E1193" i="1"/>
  <c r="F1191" i="1"/>
  <c r="E1191" i="1"/>
  <c r="F1190" i="1"/>
  <c r="F1189" i="1"/>
  <c r="F1188" i="1"/>
  <c r="F1187" i="1"/>
  <c r="F1186" i="1"/>
  <c r="F1185" i="1"/>
  <c r="F1184" i="1"/>
  <c r="F1183" i="1"/>
  <c r="E1183" i="1"/>
  <c r="F1182" i="1"/>
  <c r="F1181" i="1"/>
  <c r="E1181" i="1"/>
  <c r="F1180" i="1"/>
  <c r="E1180" i="1"/>
  <c r="F1179" i="1"/>
  <c r="E1179" i="1"/>
  <c r="F1178" i="1"/>
  <c r="F1176" i="1"/>
  <c r="F1175" i="1"/>
  <c r="E1175" i="1"/>
  <c r="F1174" i="1"/>
  <c r="E1174" i="1"/>
  <c r="F1173" i="1"/>
  <c r="E1173" i="1"/>
  <c r="F1172" i="1"/>
  <c r="F1168" i="1"/>
  <c r="F1167" i="1"/>
  <c r="E1167" i="1"/>
  <c r="F1165" i="1"/>
  <c r="E1165" i="1"/>
  <c r="F1164" i="1"/>
  <c r="F1163" i="1"/>
  <c r="E1163" i="1"/>
  <c r="E1162" i="1"/>
  <c r="F1161" i="1"/>
  <c r="F1160" i="1"/>
  <c r="F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F1150" i="1"/>
  <c r="E1150" i="1"/>
  <c r="F1149" i="1"/>
  <c r="E1149" i="1"/>
  <c r="F1147" i="1"/>
  <c r="F1146" i="1"/>
  <c r="E1146" i="1"/>
  <c r="F1145" i="1"/>
  <c r="F1144" i="1"/>
  <c r="E1144" i="1"/>
  <c r="F1143" i="1"/>
  <c r="E1143" i="1"/>
  <c r="F1142" i="1"/>
  <c r="E1142" i="1"/>
  <c r="F1141" i="1"/>
  <c r="F1140" i="1"/>
  <c r="F1139" i="1"/>
  <c r="E1139" i="1"/>
  <c r="F1138" i="1"/>
  <c r="F1137" i="1"/>
  <c r="E1137" i="1"/>
  <c r="F1136" i="1"/>
  <c r="F1135" i="1"/>
  <c r="E1135" i="1"/>
  <c r="F1134" i="1"/>
  <c r="E1134" i="1"/>
  <c r="F1133" i="1"/>
  <c r="F1132" i="1"/>
  <c r="F1131" i="1"/>
  <c r="F1130" i="1"/>
  <c r="F1129" i="1"/>
  <c r="F1128" i="1"/>
  <c r="E1128" i="1"/>
  <c r="F1126" i="1"/>
  <c r="E1126" i="1"/>
  <c r="F1125" i="1"/>
  <c r="E1125" i="1"/>
  <c r="F1124" i="1"/>
  <c r="F1123" i="1"/>
  <c r="F1122" i="1"/>
  <c r="E1122" i="1"/>
  <c r="F1120" i="1"/>
  <c r="F1118" i="1"/>
  <c r="E1118" i="1"/>
  <c r="F1117" i="1"/>
  <c r="E1117" i="1"/>
  <c r="F1116" i="1"/>
  <c r="E1116" i="1"/>
  <c r="F1115" i="1"/>
  <c r="E1115" i="1"/>
  <c r="F1114" i="1"/>
  <c r="E1114" i="1"/>
  <c r="F1113" i="1"/>
  <c r="F1112" i="1"/>
  <c r="F1111" i="1"/>
  <c r="E1111" i="1"/>
  <c r="F1110" i="1"/>
  <c r="E1110" i="1"/>
  <c r="F1109" i="1"/>
  <c r="F1108" i="1"/>
  <c r="E1108" i="1"/>
  <c r="F1107" i="1"/>
  <c r="E1107" i="1"/>
  <c r="F1106" i="1"/>
  <c r="F1105" i="1"/>
  <c r="E1105" i="1"/>
  <c r="F1104" i="1"/>
  <c r="F1103" i="1"/>
  <c r="F1102" i="1"/>
  <c r="E1102" i="1"/>
  <c r="F1101" i="1"/>
  <c r="E1101" i="1"/>
  <c r="F1100" i="1"/>
  <c r="F1099" i="1"/>
  <c r="E1099" i="1"/>
  <c r="F1098" i="1"/>
  <c r="E1098" i="1"/>
  <c r="F1097" i="1"/>
  <c r="E1097" i="1"/>
  <c r="F1096" i="1"/>
  <c r="E1096" i="1"/>
  <c r="F1095" i="1"/>
  <c r="F1094" i="1"/>
  <c r="E1094" i="1"/>
  <c r="F1093" i="1"/>
  <c r="E1093" i="1"/>
  <c r="F1092" i="1"/>
  <c r="E1092" i="1"/>
  <c r="F1091" i="1"/>
  <c r="E1091" i="1"/>
  <c r="F1088" i="1"/>
  <c r="F1087" i="1"/>
  <c r="E1087" i="1"/>
  <c r="F1085" i="1"/>
  <c r="E1085" i="1"/>
  <c r="F1084" i="1"/>
  <c r="E1084" i="1"/>
  <c r="F1083" i="1"/>
  <c r="E1083" i="1"/>
  <c r="F1082" i="1"/>
  <c r="E1082" i="1"/>
  <c r="F1081" i="1"/>
  <c r="E1081" i="1"/>
  <c r="F1080" i="1"/>
  <c r="F1079" i="1"/>
  <c r="E1079" i="1"/>
  <c r="F1078" i="1"/>
  <c r="E1078" i="1"/>
  <c r="F1077" i="1"/>
  <c r="F1076" i="1"/>
  <c r="E1076" i="1"/>
  <c r="F1075" i="1"/>
  <c r="F1074" i="1"/>
  <c r="E1074" i="1"/>
  <c r="F1073" i="1"/>
  <c r="E1073" i="1"/>
  <c r="F1072" i="1"/>
  <c r="F1070" i="1"/>
  <c r="E1070" i="1"/>
  <c r="F1067" i="1"/>
  <c r="E1067" i="1"/>
  <c r="F1065" i="1"/>
  <c r="E1065" i="1"/>
  <c r="F1064" i="1"/>
  <c r="E1064" i="1"/>
  <c r="F1063" i="1"/>
  <c r="E1063" i="1"/>
  <c r="F1062" i="1"/>
  <c r="F1061" i="1"/>
  <c r="E1061" i="1"/>
  <c r="F1060" i="1"/>
  <c r="E1060" i="1"/>
  <c r="F1059" i="1"/>
  <c r="F1058" i="1"/>
  <c r="E1058" i="1"/>
  <c r="F1057" i="1"/>
  <c r="E1057" i="1"/>
  <c r="F1056" i="1"/>
  <c r="F1055" i="1"/>
  <c r="E1055" i="1"/>
  <c r="F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6" i="1"/>
  <c r="E1046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7" i="1"/>
  <c r="E1037" i="1"/>
  <c r="F1036" i="1"/>
  <c r="E1036" i="1"/>
  <c r="F1033" i="1"/>
  <c r="E1033" i="1"/>
  <c r="F1032" i="1"/>
  <c r="F1031" i="1"/>
  <c r="E1031" i="1"/>
  <c r="F1030" i="1"/>
  <c r="F1029" i="1"/>
  <c r="F1028" i="1"/>
  <c r="F1027" i="1"/>
  <c r="F1026" i="1"/>
  <c r="E1026" i="1"/>
  <c r="F1025" i="1"/>
  <c r="E1025" i="1"/>
  <c r="F1024" i="1"/>
  <c r="E1024" i="1"/>
  <c r="F1023" i="1"/>
  <c r="E1023" i="1"/>
  <c r="F1022" i="1"/>
  <c r="F1021" i="1"/>
  <c r="E1021" i="1"/>
  <c r="F1020" i="1"/>
  <c r="E1020" i="1"/>
  <c r="F1019" i="1"/>
  <c r="E1019" i="1"/>
  <c r="F1017" i="1"/>
  <c r="F1016" i="1"/>
  <c r="F1015" i="1"/>
  <c r="F1013" i="1"/>
  <c r="E1013" i="1"/>
  <c r="F1011" i="1"/>
  <c r="E1011" i="1"/>
  <c r="F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F997" i="1"/>
  <c r="F996" i="1"/>
  <c r="E996" i="1"/>
  <c r="F995" i="1"/>
  <c r="E995" i="1"/>
  <c r="F994" i="1"/>
  <c r="E994" i="1"/>
  <c r="F993" i="1"/>
  <c r="E993" i="1"/>
  <c r="F992" i="1"/>
  <c r="E992" i="1"/>
  <c r="F990" i="1"/>
  <c r="F989" i="1"/>
  <c r="F988" i="1"/>
  <c r="E988" i="1"/>
  <c r="F987" i="1"/>
  <c r="E987" i="1"/>
  <c r="F986" i="1"/>
  <c r="E986" i="1"/>
  <c r="F985" i="1"/>
  <c r="E985" i="1"/>
  <c r="F984" i="1"/>
  <c r="F983" i="1"/>
  <c r="F982" i="1"/>
  <c r="E982" i="1"/>
  <c r="F981" i="1"/>
  <c r="E981" i="1"/>
  <c r="F980" i="1"/>
  <c r="E980" i="1"/>
  <c r="F979" i="1"/>
  <c r="F978" i="1"/>
  <c r="F977" i="1"/>
  <c r="E977" i="1"/>
  <c r="F976" i="1"/>
  <c r="F975" i="1"/>
  <c r="F974" i="1"/>
  <c r="F973" i="1"/>
  <c r="E973" i="1"/>
  <c r="F972" i="1"/>
  <c r="E972" i="1"/>
  <c r="F971" i="1"/>
  <c r="E971" i="1"/>
  <c r="F970" i="1"/>
  <c r="F969" i="1"/>
  <c r="F968" i="1"/>
  <c r="F966" i="1"/>
  <c r="E966" i="1"/>
  <c r="F965" i="1"/>
  <c r="E965" i="1"/>
  <c r="F964" i="1"/>
  <c r="F963" i="1"/>
  <c r="E963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F954" i="1"/>
  <c r="E954" i="1"/>
  <c r="F953" i="1"/>
  <c r="E953" i="1"/>
  <c r="F952" i="1"/>
  <c r="E952" i="1"/>
  <c r="F951" i="1"/>
  <c r="E951" i="1"/>
  <c r="F950" i="1"/>
  <c r="F949" i="1"/>
  <c r="E949" i="1"/>
  <c r="F948" i="1"/>
  <c r="E948" i="1"/>
  <c r="F947" i="1"/>
  <c r="F945" i="1"/>
  <c r="E945" i="1"/>
  <c r="F944" i="1"/>
  <c r="E944" i="1"/>
  <c r="F942" i="1"/>
  <c r="E942" i="1"/>
  <c r="F940" i="1"/>
  <c r="F938" i="1"/>
  <c r="F937" i="1"/>
  <c r="F936" i="1"/>
  <c r="E936" i="1"/>
  <c r="F935" i="1"/>
  <c r="F934" i="1"/>
  <c r="E934" i="1"/>
  <c r="F933" i="1"/>
  <c r="F931" i="1"/>
  <c r="F930" i="1"/>
  <c r="F929" i="1"/>
  <c r="F928" i="1"/>
  <c r="F927" i="1"/>
  <c r="E927" i="1"/>
  <c r="F925" i="1"/>
  <c r="E925" i="1"/>
  <c r="F924" i="1"/>
  <c r="F923" i="1"/>
  <c r="F922" i="1"/>
  <c r="E922" i="1"/>
  <c r="F921" i="1"/>
  <c r="F920" i="1"/>
  <c r="E920" i="1"/>
  <c r="F919" i="1"/>
  <c r="F918" i="1"/>
  <c r="E918" i="1"/>
  <c r="F917" i="1"/>
  <c r="F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3" i="1"/>
  <c r="E903" i="1"/>
  <c r="F902" i="1"/>
  <c r="E902" i="1"/>
  <c r="F901" i="1"/>
  <c r="E901" i="1"/>
  <c r="F899" i="1"/>
  <c r="E899" i="1"/>
  <c r="F898" i="1"/>
  <c r="E898" i="1"/>
  <c r="F897" i="1"/>
  <c r="E897" i="1"/>
  <c r="F896" i="1"/>
  <c r="F895" i="1"/>
  <c r="E895" i="1"/>
  <c r="F894" i="1"/>
  <c r="F893" i="1"/>
  <c r="F891" i="1"/>
  <c r="F890" i="1"/>
  <c r="E890" i="1"/>
  <c r="F888" i="1"/>
  <c r="E888" i="1"/>
  <c r="F887" i="1"/>
  <c r="E887" i="1"/>
  <c r="F886" i="1"/>
  <c r="F885" i="1"/>
  <c r="F884" i="1"/>
  <c r="F883" i="1"/>
  <c r="E883" i="1"/>
  <c r="F882" i="1"/>
  <c r="F881" i="1"/>
  <c r="E881" i="1"/>
  <c r="F880" i="1"/>
  <c r="F879" i="1"/>
  <c r="F878" i="1"/>
  <c r="E878" i="1"/>
  <c r="F877" i="1"/>
  <c r="E877" i="1"/>
  <c r="F876" i="1"/>
  <c r="E876" i="1"/>
  <c r="F875" i="1"/>
  <c r="E875" i="1"/>
  <c r="F872" i="1"/>
  <c r="E872" i="1"/>
  <c r="F871" i="1"/>
  <c r="F870" i="1"/>
  <c r="E870" i="1"/>
  <c r="F869" i="1"/>
  <c r="E869" i="1"/>
  <c r="F868" i="1"/>
  <c r="E868" i="1"/>
  <c r="F865" i="1"/>
  <c r="E865" i="1"/>
  <c r="F864" i="1"/>
  <c r="F863" i="1"/>
  <c r="F862" i="1"/>
  <c r="F861" i="1"/>
  <c r="F860" i="1"/>
  <c r="E860" i="1"/>
  <c r="F859" i="1"/>
  <c r="E859" i="1"/>
  <c r="F858" i="1"/>
  <c r="E858" i="1"/>
  <c r="F857" i="1"/>
  <c r="F856" i="1"/>
  <c r="F854" i="1"/>
  <c r="F853" i="1"/>
  <c r="F852" i="1"/>
  <c r="E852" i="1"/>
  <c r="F851" i="1"/>
  <c r="E851" i="1"/>
  <c r="F850" i="1"/>
  <c r="E850" i="1"/>
  <c r="F849" i="1"/>
  <c r="F848" i="1"/>
  <c r="E848" i="1"/>
  <c r="F847" i="1"/>
  <c r="E847" i="1"/>
  <c r="F846" i="1"/>
  <c r="E846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F823" i="1"/>
  <c r="E823" i="1"/>
  <c r="F822" i="1"/>
  <c r="E822" i="1"/>
  <c r="F821" i="1"/>
  <c r="E821" i="1"/>
  <c r="F820" i="1"/>
  <c r="E820" i="1"/>
  <c r="F819" i="1"/>
  <c r="E819" i="1"/>
  <c r="F818" i="1"/>
  <c r="F817" i="1"/>
  <c r="F816" i="1"/>
  <c r="E816" i="1"/>
  <c r="F814" i="1"/>
  <c r="E814" i="1"/>
  <c r="F813" i="1"/>
  <c r="E813" i="1"/>
  <c r="F812" i="1"/>
  <c r="E812" i="1"/>
  <c r="F811" i="1"/>
  <c r="F810" i="1"/>
  <c r="E810" i="1"/>
  <c r="F809" i="1"/>
  <c r="E809" i="1"/>
  <c r="F808" i="1"/>
  <c r="E808" i="1"/>
  <c r="F805" i="1"/>
  <c r="E805" i="1"/>
  <c r="F804" i="1"/>
  <c r="E804" i="1"/>
  <c r="F803" i="1"/>
  <c r="F802" i="1"/>
  <c r="E802" i="1"/>
  <c r="F801" i="1"/>
  <c r="F800" i="1"/>
  <c r="F799" i="1"/>
  <c r="E799" i="1"/>
  <c r="F798" i="1"/>
  <c r="E798" i="1"/>
  <c r="F797" i="1"/>
  <c r="E797" i="1"/>
  <c r="F796" i="1"/>
  <c r="F795" i="1"/>
  <c r="F794" i="1"/>
  <c r="E794" i="1"/>
  <c r="F793" i="1"/>
  <c r="E793" i="1"/>
  <c r="F792" i="1"/>
  <c r="F791" i="1"/>
  <c r="F790" i="1"/>
  <c r="F788" i="1"/>
  <c r="E788" i="1"/>
  <c r="F787" i="1"/>
  <c r="E787" i="1"/>
  <c r="F786" i="1"/>
  <c r="F785" i="1"/>
  <c r="F783" i="1"/>
  <c r="E783" i="1"/>
  <c r="F782" i="1"/>
  <c r="F781" i="1"/>
  <c r="E781" i="1"/>
  <c r="F780" i="1"/>
  <c r="E780" i="1"/>
  <c r="F779" i="1"/>
  <c r="F778" i="1"/>
  <c r="E778" i="1"/>
  <c r="F777" i="1"/>
  <c r="F776" i="1"/>
  <c r="F775" i="1"/>
  <c r="F774" i="1"/>
  <c r="E774" i="1"/>
  <c r="F773" i="1"/>
  <c r="E773" i="1"/>
  <c r="F771" i="1"/>
  <c r="F770" i="1"/>
  <c r="E770" i="1"/>
  <c r="F769" i="1"/>
  <c r="E769" i="1"/>
  <c r="F768" i="1"/>
  <c r="E768" i="1"/>
  <c r="F767" i="1"/>
  <c r="E767" i="1"/>
  <c r="F766" i="1"/>
  <c r="E766" i="1"/>
  <c r="F765" i="1"/>
  <c r="F764" i="1"/>
  <c r="E764" i="1"/>
  <c r="F763" i="1"/>
  <c r="E763" i="1"/>
  <c r="F762" i="1"/>
  <c r="E762" i="1"/>
  <c r="F760" i="1"/>
  <c r="F759" i="1"/>
  <c r="E759" i="1"/>
  <c r="F758" i="1"/>
  <c r="F757" i="1"/>
  <c r="E757" i="1"/>
  <c r="F756" i="1"/>
  <c r="F755" i="1"/>
  <c r="E755" i="1"/>
  <c r="F754" i="1"/>
  <c r="F753" i="1"/>
  <c r="E753" i="1"/>
  <c r="F752" i="1"/>
  <c r="E752" i="1"/>
  <c r="F751" i="1"/>
  <c r="F750" i="1"/>
  <c r="E750" i="1"/>
  <c r="F749" i="1"/>
  <c r="E749" i="1"/>
  <c r="F748" i="1"/>
  <c r="E748" i="1"/>
  <c r="F747" i="1"/>
  <c r="E747" i="1"/>
  <c r="F746" i="1"/>
  <c r="F745" i="1"/>
  <c r="E745" i="1"/>
  <c r="F744" i="1"/>
  <c r="E744" i="1"/>
  <c r="F743" i="1"/>
  <c r="F742" i="1"/>
  <c r="E742" i="1"/>
  <c r="F741" i="1"/>
  <c r="F740" i="1"/>
  <c r="E740" i="1"/>
  <c r="F738" i="1"/>
  <c r="E738" i="1"/>
  <c r="F737" i="1"/>
  <c r="E737" i="1"/>
  <c r="F736" i="1"/>
  <c r="F735" i="1"/>
  <c r="F734" i="1"/>
  <c r="F733" i="1"/>
  <c r="E733" i="1"/>
  <c r="F732" i="1"/>
  <c r="E732" i="1"/>
  <c r="F731" i="1"/>
  <c r="E731" i="1"/>
  <c r="F730" i="1"/>
  <c r="E730" i="1"/>
  <c r="F729" i="1"/>
  <c r="F728" i="1"/>
  <c r="E728" i="1"/>
  <c r="F727" i="1"/>
  <c r="E727" i="1"/>
  <c r="F724" i="1"/>
  <c r="F723" i="1"/>
  <c r="F722" i="1"/>
  <c r="E722" i="1"/>
  <c r="F721" i="1"/>
  <c r="F720" i="1"/>
  <c r="E720" i="1"/>
  <c r="F719" i="1"/>
  <c r="E719" i="1"/>
  <c r="F718" i="1"/>
  <c r="E718" i="1"/>
  <c r="F716" i="1"/>
  <c r="E716" i="1"/>
  <c r="F715" i="1"/>
  <c r="E715" i="1"/>
  <c r="F714" i="1"/>
  <c r="F713" i="1"/>
  <c r="E713" i="1"/>
  <c r="F711" i="1"/>
  <c r="E711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0" i="1"/>
  <c r="E700" i="1"/>
  <c r="F698" i="1"/>
  <c r="F697" i="1"/>
  <c r="E697" i="1"/>
  <c r="F696" i="1"/>
  <c r="E696" i="1"/>
  <c r="F695" i="1"/>
  <c r="E695" i="1"/>
  <c r="F694" i="1"/>
  <c r="E694" i="1"/>
  <c r="F693" i="1"/>
  <c r="F692" i="1"/>
  <c r="F691" i="1"/>
  <c r="E691" i="1"/>
  <c r="F690" i="1"/>
  <c r="F689" i="1"/>
  <c r="F688" i="1"/>
  <c r="E688" i="1"/>
  <c r="F687" i="1"/>
  <c r="F686" i="1"/>
  <c r="E686" i="1"/>
  <c r="F685" i="1"/>
  <c r="F684" i="1"/>
  <c r="E684" i="1"/>
  <c r="F683" i="1"/>
  <c r="F682" i="1"/>
  <c r="E682" i="1"/>
  <c r="F681" i="1"/>
  <c r="E681" i="1"/>
  <c r="F680" i="1"/>
  <c r="E680" i="1"/>
  <c r="F679" i="1"/>
  <c r="F678" i="1"/>
  <c r="E678" i="1"/>
  <c r="F677" i="1"/>
  <c r="F676" i="1"/>
  <c r="E676" i="1"/>
  <c r="F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F665" i="1"/>
  <c r="E665" i="1"/>
  <c r="F664" i="1"/>
  <c r="E664" i="1"/>
  <c r="F663" i="1"/>
  <c r="F661" i="1"/>
  <c r="E661" i="1"/>
  <c r="F660" i="1"/>
  <c r="E660" i="1"/>
  <c r="F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F650" i="1"/>
  <c r="F649" i="1"/>
  <c r="E649" i="1"/>
  <c r="F648" i="1"/>
  <c r="F647" i="1"/>
  <c r="E647" i="1"/>
  <c r="F646" i="1"/>
  <c r="F645" i="1"/>
  <c r="E645" i="1"/>
  <c r="F644" i="1"/>
  <c r="F643" i="1"/>
  <c r="E643" i="1"/>
  <c r="F642" i="1"/>
  <c r="F641" i="1"/>
  <c r="E641" i="1"/>
  <c r="F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19" i="1"/>
  <c r="F618" i="1"/>
  <c r="E618" i="1"/>
  <c r="F616" i="1"/>
  <c r="E616" i="1"/>
  <c r="F615" i="1"/>
  <c r="F614" i="1"/>
  <c r="E614" i="1"/>
  <c r="F613" i="1"/>
  <c r="F612" i="1"/>
  <c r="E612" i="1"/>
  <c r="F611" i="1"/>
  <c r="E611" i="1"/>
  <c r="F610" i="1"/>
  <c r="E610" i="1"/>
  <c r="F609" i="1"/>
  <c r="F608" i="1"/>
  <c r="E608" i="1"/>
  <c r="F607" i="1"/>
  <c r="F605" i="1"/>
  <c r="E605" i="1"/>
  <c r="F604" i="1"/>
  <c r="E604" i="1"/>
  <c r="F603" i="1"/>
  <c r="E603" i="1"/>
  <c r="F602" i="1"/>
  <c r="F601" i="1"/>
  <c r="E601" i="1"/>
  <c r="F600" i="1"/>
  <c r="F599" i="1"/>
  <c r="E599" i="1"/>
  <c r="F598" i="1"/>
  <c r="E598" i="1"/>
  <c r="F597" i="1"/>
  <c r="F596" i="1"/>
  <c r="F595" i="1"/>
  <c r="E595" i="1"/>
  <c r="F594" i="1"/>
  <c r="F593" i="1"/>
  <c r="E593" i="1"/>
  <c r="F592" i="1"/>
  <c r="E592" i="1"/>
  <c r="F591" i="1"/>
  <c r="E591" i="1"/>
  <c r="F590" i="1"/>
  <c r="F589" i="1"/>
  <c r="F588" i="1"/>
  <c r="E588" i="1"/>
  <c r="F587" i="1"/>
  <c r="F586" i="1"/>
  <c r="E586" i="1"/>
  <c r="F585" i="1"/>
  <c r="E585" i="1"/>
  <c r="F584" i="1"/>
  <c r="E584" i="1"/>
  <c r="F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F575" i="1"/>
  <c r="F574" i="1"/>
  <c r="F573" i="1"/>
  <c r="E573" i="1"/>
  <c r="F572" i="1"/>
  <c r="F571" i="1"/>
  <c r="E571" i="1"/>
  <c r="F569" i="1"/>
  <c r="E569" i="1"/>
  <c r="F568" i="1"/>
  <c r="E568" i="1"/>
  <c r="F567" i="1"/>
  <c r="E567" i="1"/>
  <c r="F566" i="1"/>
  <c r="E566" i="1"/>
  <c r="F564" i="1"/>
  <c r="F563" i="1"/>
  <c r="F562" i="1"/>
  <c r="F561" i="1"/>
  <c r="E561" i="1"/>
  <c r="F560" i="1"/>
  <c r="F559" i="1"/>
  <c r="E559" i="1"/>
  <c r="F558" i="1"/>
  <c r="E558" i="1"/>
  <c r="F557" i="1"/>
  <c r="E557" i="1"/>
  <c r="F556" i="1"/>
  <c r="E556" i="1"/>
  <c r="F555" i="1"/>
  <c r="F554" i="1"/>
  <c r="E554" i="1"/>
  <c r="F553" i="1"/>
  <c r="E553" i="1"/>
  <c r="F552" i="1"/>
  <c r="F551" i="1"/>
  <c r="E551" i="1"/>
  <c r="F550" i="1"/>
  <c r="E550" i="1"/>
  <c r="F549" i="1"/>
  <c r="E549" i="1"/>
  <c r="F548" i="1"/>
  <c r="E548" i="1"/>
  <c r="F547" i="1"/>
  <c r="F545" i="1"/>
  <c r="E545" i="1"/>
  <c r="F544" i="1"/>
  <c r="F543" i="1"/>
  <c r="F542" i="1"/>
  <c r="E542" i="1"/>
  <c r="F541" i="1"/>
  <c r="F540" i="1"/>
  <c r="F539" i="1"/>
  <c r="F537" i="1"/>
  <c r="E537" i="1"/>
  <c r="F536" i="1"/>
  <c r="F535" i="1"/>
  <c r="F534" i="1"/>
  <c r="F532" i="1"/>
  <c r="F531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2" i="1"/>
  <c r="F521" i="1"/>
  <c r="E521" i="1"/>
  <c r="F520" i="1"/>
  <c r="E520" i="1"/>
  <c r="F519" i="1"/>
  <c r="E519" i="1"/>
  <c r="F517" i="1"/>
  <c r="E517" i="1"/>
  <c r="F516" i="1"/>
  <c r="E516" i="1"/>
  <c r="F515" i="1"/>
  <c r="E515" i="1"/>
  <c r="F514" i="1"/>
  <c r="E514" i="1"/>
  <c r="F513" i="1"/>
  <c r="E513" i="1"/>
  <c r="F512" i="1"/>
  <c r="F510" i="1"/>
  <c r="E510" i="1"/>
  <c r="F509" i="1"/>
  <c r="E509" i="1"/>
  <c r="F508" i="1"/>
  <c r="F507" i="1"/>
  <c r="E507" i="1"/>
  <c r="F506" i="1"/>
  <c r="E506" i="1"/>
  <c r="F505" i="1"/>
  <c r="E505" i="1"/>
  <c r="F504" i="1"/>
  <c r="E504" i="1"/>
  <c r="F502" i="1"/>
  <c r="E502" i="1"/>
  <c r="F501" i="1"/>
  <c r="F500" i="1"/>
  <c r="E500" i="1"/>
  <c r="F498" i="1"/>
  <c r="E498" i="1"/>
  <c r="F496" i="1"/>
  <c r="E496" i="1"/>
  <c r="F495" i="1"/>
  <c r="F493" i="1"/>
  <c r="E493" i="1"/>
  <c r="F492" i="1"/>
  <c r="F491" i="1"/>
  <c r="E491" i="1"/>
  <c r="F490" i="1"/>
  <c r="E490" i="1"/>
  <c r="F489" i="1"/>
  <c r="E489" i="1"/>
  <c r="E602" i="1" s="1"/>
  <c r="F488" i="1"/>
  <c r="E488" i="1"/>
  <c r="F487" i="1"/>
  <c r="E487" i="1"/>
  <c r="F486" i="1"/>
  <c r="E486" i="1"/>
  <c r="F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F475" i="1"/>
  <c r="F474" i="1"/>
  <c r="F473" i="1"/>
  <c r="F472" i="1"/>
  <c r="F471" i="1"/>
  <c r="E471" i="1"/>
  <c r="F469" i="1"/>
  <c r="F468" i="1"/>
  <c r="E468" i="1"/>
  <c r="F467" i="1"/>
  <c r="F466" i="1"/>
  <c r="F465" i="1"/>
  <c r="E465" i="1"/>
  <c r="F464" i="1"/>
  <c r="E464" i="1"/>
  <c r="F463" i="1"/>
  <c r="E463" i="1"/>
  <c r="F462" i="1"/>
  <c r="E462" i="1"/>
  <c r="F460" i="1"/>
  <c r="F459" i="1"/>
  <c r="E459" i="1"/>
  <c r="F458" i="1"/>
  <c r="F457" i="1"/>
  <c r="F456" i="1"/>
  <c r="F455" i="1"/>
  <c r="F454" i="1"/>
  <c r="F453" i="1"/>
  <c r="F452" i="1"/>
  <c r="F450" i="1"/>
  <c r="F449" i="1"/>
  <c r="F448" i="1"/>
  <c r="F447" i="1"/>
  <c r="F446" i="1"/>
  <c r="F445" i="1"/>
  <c r="F444" i="1"/>
  <c r="F443" i="1"/>
  <c r="F442" i="1"/>
  <c r="E442" i="1"/>
  <c r="F441" i="1"/>
  <c r="E441" i="1"/>
  <c r="F440" i="1"/>
  <c r="E440" i="1"/>
  <c r="F437" i="1"/>
  <c r="E437" i="1"/>
  <c r="F436" i="1"/>
  <c r="E436" i="1"/>
  <c r="F435" i="1"/>
  <c r="E435" i="1"/>
  <c r="F433" i="1"/>
  <c r="E433" i="1"/>
  <c r="F432" i="1"/>
  <c r="F431" i="1"/>
  <c r="E431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1" i="1"/>
  <c r="E421" i="1"/>
  <c r="F420" i="1"/>
  <c r="F419" i="1"/>
  <c r="E419" i="1"/>
  <c r="F418" i="1"/>
  <c r="F417" i="1"/>
  <c r="E417" i="1"/>
  <c r="F416" i="1"/>
  <c r="F415" i="1"/>
  <c r="F414" i="1"/>
  <c r="E414" i="1"/>
  <c r="F413" i="1"/>
  <c r="E413" i="1"/>
  <c r="F412" i="1"/>
  <c r="E412" i="1"/>
  <c r="F411" i="1"/>
  <c r="F410" i="1"/>
  <c r="F409" i="1"/>
  <c r="E409" i="1"/>
  <c r="F408" i="1"/>
  <c r="F407" i="1"/>
  <c r="F406" i="1"/>
  <c r="F405" i="1"/>
  <c r="E405" i="1"/>
  <c r="F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F384" i="1"/>
  <c r="E384" i="1"/>
  <c r="F383" i="1"/>
  <c r="E383" i="1"/>
  <c r="F382" i="1"/>
  <c r="E382" i="1"/>
  <c r="F381" i="1"/>
  <c r="F380" i="1"/>
  <c r="F379" i="1"/>
  <c r="E379" i="1"/>
  <c r="F378" i="1"/>
  <c r="E378" i="1"/>
  <c r="F377" i="1"/>
  <c r="E377" i="1"/>
  <c r="F375" i="1"/>
  <c r="F374" i="1"/>
  <c r="F373" i="1"/>
  <c r="F372" i="1"/>
  <c r="E372" i="1"/>
  <c r="F371" i="1"/>
  <c r="E371" i="1"/>
  <c r="F369" i="1"/>
  <c r="E369" i="1"/>
  <c r="F368" i="1"/>
  <c r="E368" i="1"/>
  <c r="F367" i="1"/>
  <c r="E367" i="1"/>
  <c r="F366" i="1"/>
  <c r="E366" i="1"/>
  <c r="F365" i="1"/>
  <c r="F364" i="1"/>
  <c r="E364" i="1"/>
  <c r="F363" i="1"/>
  <c r="E363" i="1"/>
  <c r="F362" i="1"/>
  <c r="E362" i="1"/>
  <c r="F361" i="1"/>
  <c r="F360" i="1"/>
  <c r="E360" i="1"/>
  <c r="F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5" i="1"/>
  <c r="E345" i="1"/>
  <c r="F344" i="1"/>
  <c r="F343" i="1"/>
  <c r="E343" i="1"/>
  <c r="F342" i="1"/>
  <c r="E342" i="1"/>
  <c r="F341" i="1"/>
  <c r="E341" i="1"/>
  <c r="F340" i="1"/>
  <c r="E340" i="1"/>
  <c r="F339" i="1"/>
  <c r="F338" i="1"/>
  <c r="E338" i="1"/>
  <c r="F336" i="1"/>
  <c r="E336" i="1"/>
  <c r="F335" i="1"/>
  <c r="E335" i="1"/>
  <c r="F334" i="1"/>
  <c r="F333" i="1"/>
  <c r="E333" i="1"/>
  <c r="F332" i="1"/>
  <c r="F331" i="1"/>
  <c r="F330" i="1"/>
  <c r="F329" i="1"/>
  <c r="F328" i="1"/>
  <c r="E328" i="1"/>
  <c r="F327" i="1"/>
  <c r="E327" i="1"/>
  <c r="F326" i="1"/>
  <c r="E326" i="1"/>
  <c r="F325" i="1"/>
  <c r="F324" i="1"/>
  <c r="F323" i="1"/>
  <c r="E323" i="1"/>
  <c r="F322" i="1"/>
  <c r="E322" i="1"/>
  <c r="F321" i="1"/>
  <c r="F320" i="1"/>
  <c r="F319" i="1"/>
  <c r="E319" i="1"/>
  <c r="F318" i="1"/>
  <c r="E318" i="1"/>
  <c r="F317" i="1"/>
  <c r="F316" i="1"/>
  <c r="E316" i="1"/>
  <c r="F315" i="1"/>
  <c r="E315" i="1"/>
  <c r="F314" i="1"/>
  <c r="E314" i="1"/>
  <c r="F313" i="1"/>
  <c r="E313" i="1"/>
  <c r="F312" i="1"/>
  <c r="E312" i="1"/>
  <c r="F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F302" i="1"/>
  <c r="F301" i="1"/>
  <c r="F300" i="1"/>
  <c r="E300" i="1"/>
  <c r="F299" i="1"/>
  <c r="E299" i="1"/>
  <c r="F298" i="1"/>
  <c r="E298" i="1"/>
  <c r="F297" i="1"/>
  <c r="E297" i="1"/>
  <c r="F296" i="1"/>
  <c r="F295" i="1"/>
  <c r="F294" i="1"/>
  <c r="F293" i="1"/>
  <c r="F292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E273" i="1"/>
  <c r="F271" i="1"/>
  <c r="F269" i="1"/>
  <c r="F268" i="1"/>
  <c r="E268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F259" i="1"/>
  <c r="E259" i="1"/>
  <c r="F258" i="1"/>
  <c r="E258" i="1"/>
  <c r="F257" i="1"/>
  <c r="F256" i="1"/>
  <c r="F255" i="1"/>
  <c r="E255" i="1"/>
  <c r="F253" i="1"/>
  <c r="E253" i="1"/>
  <c r="F252" i="1"/>
  <c r="E252" i="1"/>
  <c r="F251" i="1"/>
  <c r="F250" i="1"/>
  <c r="E250" i="1"/>
  <c r="F249" i="1"/>
  <c r="F248" i="1"/>
  <c r="E248" i="1"/>
  <c r="F247" i="1"/>
  <c r="E247" i="1"/>
  <c r="F246" i="1"/>
  <c r="E246" i="1"/>
  <c r="F245" i="1"/>
  <c r="E245" i="1"/>
  <c r="F244" i="1"/>
  <c r="E244" i="1"/>
  <c r="F243" i="1"/>
  <c r="F242" i="1"/>
  <c r="F240" i="1"/>
  <c r="F239" i="1"/>
  <c r="E239" i="1"/>
  <c r="F238" i="1"/>
  <c r="F237" i="1"/>
  <c r="E237" i="1"/>
  <c r="F236" i="1"/>
  <c r="F234" i="1"/>
  <c r="E234" i="1"/>
  <c r="F233" i="1"/>
  <c r="F232" i="1"/>
  <c r="F231" i="1"/>
  <c r="E231" i="1"/>
  <c r="F230" i="1"/>
  <c r="E230" i="1"/>
  <c r="F229" i="1"/>
  <c r="F228" i="1"/>
  <c r="F227" i="1"/>
  <c r="E227" i="1"/>
  <c r="F226" i="1"/>
  <c r="E226" i="1"/>
  <c r="F225" i="1"/>
  <c r="E225" i="1"/>
  <c r="F224" i="1"/>
  <c r="E224" i="1"/>
  <c r="F223" i="1"/>
  <c r="E223" i="1"/>
  <c r="F222" i="1"/>
  <c r="F221" i="1"/>
  <c r="F220" i="1"/>
  <c r="E220" i="1"/>
  <c r="F219" i="1"/>
  <c r="F218" i="1"/>
  <c r="E218" i="1"/>
  <c r="F217" i="1"/>
  <c r="E217" i="1"/>
  <c r="F216" i="1"/>
  <c r="F215" i="1"/>
  <c r="F214" i="1"/>
  <c r="E214" i="1"/>
  <c r="F213" i="1"/>
  <c r="E213" i="1"/>
  <c r="F212" i="1"/>
  <c r="F211" i="1"/>
  <c r="E211" i="1"/>
  <c r="F210" i="1"/>
  <c r="E210" i="1"/>
  <c r="F209" i="1"/>
  <c r="E209" i="1"/>
  <c r="F208" i="1"/>
  <c r="E208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F197" i="1"/>
  <c r="E197" i="1"/>
  <c r="F195" i="1"/>
  <c r="F194" i="1"/>
  <c r="F193" i="1"/>
  <c r="E193" i="1"/>
  <c r="F192" i="1"/>
  <c r="F191" i="1"/>
  <c r="E191" i="1"/>
  <c r="F190" i="1"/>
  <c r="E190" i="1"/>
  <c r="F189" i="1"/>
  <c r="F188" i="1"/>
  <c r="F186" i="1"/>
  <c r="E186" i="1"/>
  <c r="F185" i="1"/>
  <c r="E185" i="1"/>
  <c r="F184" i="1"/>
  <c r="E184" i="1"/>
  <c r="F183" i="1"/>
  <c r="E183" i="1"/>
  <c r="F182" i="1"/>
  <c r="E182" i="1"/>
  <c r="F181" i="1"/>
  <c r="F180" i="1"/>
  <c r="E180" i="1"/>
  <c r="F179" i="1"/>
  <c r="E179" i="1"/>
  <c r="F178" i="1"/>
  <c r="E178" i="1"/>
  <c r="F176" i="1"/>
  <c r="E176" i="1"/>
  <c r="F175" i="1"/>
  <c r="F174" i="1"/>
  <c r="E174" i="1"/>
  <c r="F172" i="1"/>
  <c r="F171" i="1"/>
  <c r="E171" i="1"/>
  <c r="F170" i="1"/>
  <c r="E170" i="1"/>
  <c r="F169" i="1"/>
  <c r="F168" i="1"/>
  <c r="E168" i="1"/>
  <c r="F167" i="1"/>
  <c r="E167" i="1"/>
  <c r="F166" i="1"/>
  <c r="F165" i="1"/>
  <c r="E165" i="1"/>
  <c r="F164" i="1"/>
  <c r="F163" i="1"/>
  <c r="E163" i="1"/>
  <c r="F162" i="1"/>
  <c r="E162" i="1"/>
  <c r="F161" i="1"/>
  <c r="F160" i="1"/>
  <c r="F159" i="1"/>
  <c r="F158" i="1"/>
  <c r="F157" i="1"/>
  <c r="E157" i="1"/>
  <c r="F156" i="1"/>
  <c r="E156" i="1"/>
  <c r="F155" i="1"/>
  <c r="F154" i="1"/>
  <c r="F153" i="1"/>
  <c r="F152" i="1"/>
  <c r="E152" i="1"/>
  <c r="F151" i="1"/>
  <c r="F150" i="1"/>
  <c r="E150" i="1"/>
  <c r="F149" i="1"/>
  <c r="E149" i="1"/>
  <c r="F147" i="1"/>
  <c r="F146" i="1"/>
  <c r="E146" i="1"/>
  <c r="F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F134" i="1"/>
  <c r="F133" i="1"/>
  <c r="E133" i="1"/>
  <c r="F132" i="1"/>
  <c r="F131" i="1"/>
  <c r="E131" i="1"/>
  <c r="F130" i="1"/>
  <c r="E130" i="1"/>
  <c r="F128" i="1"/>
  <c r="F127" i="1"/>
  <c r="F126" i="1"/>
  <c r="F125" i="1"/>
  <c r="E125" i="1"/>
  <c r="E124" i="1"/>
  <c r="F123" i="1"/>
  <c r="E123" i="1"/>
  <c r="F122" i="1"/>
  <c r="F121" i="1"/>
  <c r="E121" i="1"/>
  <c r="F120" i="1"/>
  <c r="E120" i="1"/>
  <c r="F119" i="1"/>
  <c r="E119" i="1"/>
  <c r="F118" i="1"/>
  <c r="F117" i="1"/>
  <c r="F116" i="1"/>
  <c r="E116" i="1"/>
  <c r="F115" i="1"/>
  <c r="E115" i="1"/>
  <c r="F114" i="1"/>
  <c r="E114" i="1"/>
  <c r="F113" i="1"/>
  <c r="F112" i="1"/>
  <c r="E112" i="1"/>
  <c r="F111" i="1"/>
  <c r="E111" i="1"/>
  <c r="F110" i="1"/>
  <c r="F109" i="1"/>
  <c r="E109" i="1"/>
  <c r="F108" i="1"/>
  <c r="E108" i="1"/>
  <c r="F107" i="1"/>
  <c r="E107" i="1"/>
  <c r="F106" i="1"/>
  <c r="F105" i="1"/>
  <c r="F104" i="1"/>
  <c r="F103" i="1"/>
  <c r="E103" i="1"/>
  <c r="F102" i="1"/>
  <c r="F101" i="1"/>
  <c r="E101" i="1"/>
  <c r="F100" i="1"/>
  <c r="F99" i="1"/>
  <c r="F98" i="1"/>
  <c r="E98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F87" i="1"/>
  <c r="F86" i="1"/>
  <c r="E86" i="1"/>
  <c r="F85" i="1"/>
  <c r="E85" i="1"/>
  <c r="F84" i="1"/>
  <c r="F83" i="1"/>
  <c r="E83" i="1"/>
  <c r="F82" i="1"/>
  <c r="E82" i="1"/>
  <c r="F81" i="1"/>
  <c r="E81" i="1"/>
  <c r="F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F72" i="1"/>
  <c r="E72" i="1"/>
  <c r="F71" i="1"/>
  <c r="F70" i="1"/>
  <c r="E70" i="1"/>
  <c r="F69" i="1"/>
  <c r="F68" i="1"/>
  <c r="E68" i="1"/>
  <c r="F63" i="1"/>
  <c r="E63" i="1"/>
  <c r="F62" i="1"/>
  <c r="E62" i="1"/>
  <c r="E61" i="1"/>
  <c r="F60" i="1"/>
  <c r="E60" i="1"/>
  <c r="F59" i="1"/>
  <c r="E59" i="1"/>
  <c r="F57" i="1"/>
  <c r="E57" i="1"/>
  <c r="F56" i="1"/>
  <c r="E56" i="1"/>
  <c r="F55" i="1"/>
  <c r="E55" i="1"/>
  <c r="F54" i="1"/>
  <c r="F53" i="1"/>
  <c r="F52" i="1"/>
  <c r="F51" i="1"/>
  <c r="F50" i="1"/>
  <c r="E50" i="1"/>
  <c r="F49" i="1"/>
  <c r="F48" i="1"/>
  <c r="E48" i="1"/>
  <c r="F47" i="1"/>
  <c r="E47" i="1"/>
  <c r="F46" i="1"/>
  <c r="F45" i="1"/>
  <c r="E45" i="1"/>
  <c r="F44" i="1"/>
  <c r="E44" i="1"/>
  <c r="F43" i="1"/>
  <c r="E43" i="1"/>
  <c r="F42" i="1"/>
  <c r="F41" i="1"/>
  <c r="E41" i="1"/>
  <c r="F40" i="1"/>
  <c r="E40" i="1"/>
  <c r="F39" i="1"/>
  <c r="F38" i="1"/>
  <c r="F37" i="1"/>
  <c r="E37" i="1"/>
  <c r="F36" i="1"/>
  <c r="E36" i="1"/>
  <c r="F35" i="1"/>
  <c r="E35" i="1"/>
  <c r="F34" i="1"/>
  <c r="E34" i="1"/>
  <c r="F33" i="1"/>
  <c r="F32" i="1"/>
  <c r="E32" i="1"/>
  <c r="F31" i="1"/>
  <c r="E31" i="1"/>
  <c r="F30" i="1"/>
  <c r="F29" i="1"/>
  <c r="F27" i="1"/>
  <c r="E27" i="1"/>
  <c r="F26" i="1"/>
  <c r="F25" i="1"/>
  <c r="E25" i="1"/>
  <c r="F24" i="1"/>
  <c r="E24" i="1"/>
  <c r="F23" i="1"/>
  <c r="E23" i="1"/>
  <c r="F22" i="1"/>
  <c r="F21" i="1"/>
  <c r="E21" i="1"/>
  <c r="F20" i="1"/>
  <c r="E20" i="1"/>
  <c r="F19" i="1"/>
  <c r="F17" i="1"/>
  <c r="E17" i="1"/>
  <c r="F16" i="1"/>
  <c r="E16" i="1"/>
  <c r="F15" i="1"/>
  <c r="E15" i="1"/>
  <c r="F14" i="1"/>
  <c r="F13" i="1"/>
  <c r="F12" i="1"/>
  <c r="E12" i="1"/>
  <c r="F11" i="1"/>
  <c r="E11" i="1"/>
  <c r="F10" i="1"/>
  <c r="E10" i="1"/>
  <c r="F9" i="1"/>
  <c r="E9" i="1"/>
  <c r="F8" i="1"/>
  <c r="E8" i="1"/>
  <c r="F7" i="1"/>
  <c r="F6" i="1"/>
  <c r="E6" i="1"/>
  <c r="F5" i="1"/>
  <c r="E5" i="1"/>
  <c r="F4" i="1"/>
  <c r="E4" i="1"/>
  <c r="F3" i="1"/>
  <c r="F1712" i="1" s="1"/>
  <c r="E3" i="1"/>
  <c r="E1712" i="1" l="1"/>
</calcChain>
</file>

<file path=xl/sharedStrings.xml><?xml version="1.0" encoding="utf-8"?>
<sst xmlns="http://schemas.openxmlformats.org/spreadsheetml/2006/main" count="9453" uniqueCount="3935">
  <si>
    <t>Drugs for LiverTox: Drug Classes</t>
  </si>
  <si>
    <t>Last Update: January 30, 2026</t>
  </si>
  <si>
    <t>Count</t>
  </si>
  <si>
    <t>Ingredient</t>
  </si>
  <si>
    <t>Brand Name</t>
  </si>
  <si>
    <t>Likelihood Score</t>
  </si>
  <si>
    <t>Chapter Title</t>
  </si>
  <si>
    <t>Last Update</t>
  </si>
  <si>
    <t>Year Approved</t>
  </si>
  <si>
    <t>In LiverTox</t>
  </si>
  <si>
    <t>Primary Classification</t>
  </si>
  <si>
    <t>Secondary Classification</t>
  </si>
  <si>
    <t xml:space="preserve">Abacavir </t>
  </si>
  <si>
    <t>Abarelix</t>
  </si>
  <si>
    <t>C</t>
  </si>
  <si>
    <t>Antimicrobial</t>
  </si>
  <si>
    <t>Antiviral: HIV</t>
  </si>
  <si>
    <t>Abatacept</t>
  </si>
  <si>
    <t>Orencia</t>
  </si>
  <si>
    <t>Rheumatologic</t>
  </si>
  <si>
    <t>Autoimmune disease</t>
  </si>
  <si>
    <t>Abemaciclib</t>
  </si>
  <si>
    <t>Verzenio</t>
  </si>
  <si>
    <t>E*</t>
  </si>
  <si>
    <t>Antineoplastic</t>
  </si>
  <si>
    <t>Breast Cancer</t>
  </si>
  <si>
    <t>Abiraterone</t>
  </si>
  <si>
    <t>Zytiga</t>
  </si>
  <si>
    <t>Prostate cancer</t>
  </si>
  <si>
    <t>Abrocitinib</t>
  </si>
  <si>
    <t>Cibingo</t>
  </si>
  <si>
    <t>E</t>
  </si>
  <si>
    <t>Dermatologic</t>
  </si>
  <si>
    <t>Atopic dermatitis</t>
  </si>
  <si>
    <t>Acalabrutinib</t>
  </si>
  <si>
    <t>Calquence</t>
  </si>
  <si>
    <t>D</t>
  </si>
  <si>
    <t>Mantel cell lymphoma, CLL</t>
  </si>
  <si>
    <t>Acamprosate</t>
  </si>
  <si>
    <t>Campral</t>
  </si>
  <si>
    <t xml:space="preserve">Substance abuse </t>
  </si>
  <si>
    <t>Alcohol abuse</t>
  </si>
  <si>
    <t>Acarbose</t>
  </si>
  <si>
    <t>Precose</t>
  </si>
  <si>
    <t>B</t>
  </si>
  <si>
    <t>Endocrine</t>
  </si>
  <si>
    <t>Diabetes</t>
  </si>
  <si>
    <t>Acebutolol</t>
  </si>
  <si>
    <t>Sectral</t>
  </si>
  <si>
    <t>Cardiovascular</t>
  </si>
  <si>
    <t>Antihypertensive</t>
  </si>
  <si>
    <t>Acetaminophen</t>
  </si>
  <si>
    <t>Tylenol</t>
  </si>
  <si>
    <t>A [HD]</t>
  </si>
  <si>
    <t>Analgesic</t>
  </si>
  <si>
    <t>Mild-Moderate Pain</t>
  </si>
  <si>
    <t>Acetazolamide</t>
  </si>
  <si>
    <t>Diamox</t>
  </si>
  <si>
    <t>Carbonic Anhydrase Inhibitors</t>
  </si>
  <si>
    <t>Diuretic</t>
  </si>
  <si>
    <t>Acetohexamide</t>
  </si>
  <si>
    <t>Dymelor</t>
  </si>
  <si>
    <t>Sulfonylureas, First Generation</t>
  </si>
  <si>
    <t>&lt;1980</t>
  </si>
  <si>
    <t>Acetylcysteine</t>
  </si>
  <si>
    <t>Acetadote</t>
  </si>
  <si>
    <t>Toxicology</t>
  </si>
  <si>
    <t>Liver disease</t>
  </si>
  <si>
    <t>Acitretin</t>
  </si>
  <si>
    <t>Soriatane</t>
  </si>
  <si>
    <t>Psoriasis</t>
  </si>
  <si>
    <t>Aclidinium</t>
  </si>
  <si>
    <t>Tudorza Pressair</t>
  </si>
  <si>
    <t>Respiratory</t>
  </si>
  <si>
    <t>Bronchodilation</t>
  </si>
  <si>
    <t>Acoltremon</t>
  </si>
  <si>
    <t>Tryptyr</t>
  </si>
  <si>
    <t>X</t>
  </si>
  <si>
    <t>Opthalmologic</t>
  </si>
  <si>
    <t>Dry eye disease</t>
  </si>
  <si>
    <t>Acoramidis</t>
  </si>
  <si>
    <t>Attruby</t>
  </si>
  <si>
    <t>Amymoid heart disease</t>
  </si>
  <si>
    <t>Acrivastine</t>
  </si>
  <si>
    <t>Semprex-D</t>
  </si>
  <si>
    <t>Allergy symptoms</t>
  </si>
  <si>
    <t>Acyclovir</t>
  </si>
  <si>
    <t>Zovirax</t>
  </si>
  <si>
    <t>Antiviral: Herpes</t>
  </si>
  <si>
    <t>Adagrasib</t>
  </si>
  <si>
    <t>Krazati</t>
  </si>
  <si>
    <t>KRAS G12C mutated NSCLC</t>
  </si>
  <si>
    <t>Adalimumab</t>
  </si>
  <si>
    <t>Humira</t>
  </si>
  <si>
    <t>Rheumatic Disease</t>
  </si>
  <si>
    <t>Adefovir</t>
  </si>
  <si>
    <t>Hepsera</t>
  </si>
  <si>
    <t>Antiviral: HBV</t>
  </si>
  <si>
    <t>Aducanumab</t>
  </si>
  <si>
    <t>Aduhelm</t>
  </si>
  <si>
    <t>CNS</t>
  </si>
  <si>
    <t>Alzheimer disease</t>
  </si>
  <si>
    <t>Afamelanotide</t>
  </si>
  <si>
    <t>Scenesse</t>
  </si>
  <si>
    <t>Genetic</t>
  </si>
  <si>
    <t>Erythropoietic protoporphyria</t>
  </si>
  <si>
    <t>Afatinib</t>
  </si>
  <si>
    <t>Gilotrif</t>
  </si>
  <si>
    <t>Lung cancer</t>
  </si>
  <si>
    <t>Aficamten</t>
  </si>
  <si>
    <t>Myqorzo</t>
  </si>
  <si>
    <t>Hypertrophic cardiomyopathy</t>
  </si>
  <si>
    <t>Aflibercept</t>
  </si>
  <si>
    <t>Eylea</t>
  </si>
  <si>
    <t>Macular Degeneration Agents</t>
  </si>
  <si>
    <t>Macular degeneration</t>
  </si>
  <si>
    <t>Agalsidase beta</t>
  </si>
  <si>
    <t>Fabrazyme</t>
  </si>
  <si>
    <t>Enzyme Replacement Therapy</t>
  </si>
  <si>
    <t>Fabry disease</t>
  </si>
  <si>
    <t>Albendazole</t>
  </si>
  <si>
    <t>Albenza</t>
  </si>
  <si>
    <t>Antihelmintic</t>
  </si>
  <si>
    <t>Albiglutide</t>
  </si>
  <si>
    <t>Tanzeum</t>
  </si>
  <si>
    <t>Albuterol</t>
  </si>
  <si>
    <t>Proventil</t>
  </si>
  <si>
    <t>Beta-2 Adrenergic Agonists</t>
  </si>
  <si>
    <t>Asthma</t>
  </si>
  <si>
    <t>Aldesleukin</t>
  </si>
  <si>
    <t>Proleukin</t>
  </si>
  <si>
    <t>C[HD]</t>
  </si>
  <si>
    <t>Solid tumors, Lymphoma</t>
  </si>
  <si>
    <t>Alectinib</t>
  </si>
  <si>
    <t>Alacensa</t>
  </si>
  <si>
    <t>Alefacept</t>
  </si>
  <si>
    <t>Amevive</t>
  </si>
  <si>
    <t>Alemtuzumab</t>
  </si>
  <si>
    <t>Campath</t>
  </si>
  <si>
    <t>Immunomodulatory</t>
  </si>
  <si>
    <t>Rejection</t>
  </si>
  <si>
    <t>Alendronate</t>
  </si>
  <si>
    <t>Fosamax</t>
  </si>
  <si>
    <t>Bisphosphonates</t>
  </si>
  <si>
    <t>Osteoporosis</t>
  </si>
  <si>
    <t>Alfentanil</t>
  </si>
  <si>
    <t>Afenta</t>
  </si>
  <si>
    <t>Fentanyl</t>
  </si>
  <si>
    <t>Severe pain</t>
  </si>
  <si>
    <t>Alfuzosin</t>
  </si>
  <si>
    <t>Uroxatral</t>
  </si>
  <si>
    <t>Urologic</t>
  </si>
  <si>
    <t>Prostatic hypertrophy</t>
  </si>
  <si>
    <t>Alglucerase</t>
  </si>
  <si>
    <t>Ceredase</t>
  </si>
  <si>
    <t>Gaucher disease</t>
  </si>
  <si>
    <t>Alglucosidase alfa</t>
  </si>
  <si>
    <t>Lumizyme</t>
  </si>
  <si>
    <t>Pompe disease</t>
  </si>
  <si>
    <t>Alirocumab</t>
  </si>
  <si>
    <t>Praluent</t>
  </si>
  <si>
    <t>Lipid lowering agent</t>
  </si>
  <si>
    <t>Aliskiren</t>
  </si>
  <si>
    <t>Teklurna</t>
  </si>
  <si>
    <t>Allopurinol</t>
  </si>
  <si>
    <t>Zyloprim</t>
  </si>
  <si>
    <t>A</t>
  </si>
  <si>
    <t>Gout</t>
  </si>
  <si>
    <t>Almotriptan</t>
  </si>
  <si>
    <t>Axert</t>
  </si>
  <si>
    <t>Serotonin Receptor Agonists</t>
  </si>
  <si>
    <t>Migraine</t>
  </si>
  <si>
    <t>Aloe Vera</t>
  </si>
  <si>
    <t>Alcortin</t>
  </si>
  <si>
    <t>NA</t>
  </si>
  <si>
    <t>HDS: Herbal Product</t>
  </si>
  <si>
    <t>Laxative</t>
  </si>
  <si>
    <t>Alogliptin</t>
  </si>
  <si>
    <t>Nesina</t>
  </si>
  <si>
    <t>Alosetron</t>
  </si>
  <si>
    <t>Lotronex</t>
  </si>
  <si>
    <t>Serotonin 5-HT3 Receptor Antagonists</t>
  </si>
  <si>
    <t>Gastrointestinal</t>
  </si>
  <si>
    <t>Irritable bowel syndrome</t>
  </si>
  <si>
    <t>Alpelisib</t>
  </si>
  <si>
    <t>Piqray</t>
  </si>
  <si>
    <t>Breast Ca, HER2-ve, PIK3A mt</t>
  </si>
  <si>
    <t>Alpha linolenic acid</t>
  </si>
  <si>
    <t>Generic</t>
  </si>
  <si>
    <t>Omega-3 Fatty Acids</t>
  </si>
  <si>
    <t>HDS: Nutritional Suppl</t>
  </si>
  <si>
    <t>Cholesterol lowering</t>
  </si>
  <si>
    <t>Alpha lipoic acid</t>
  </si>
  <si>
    <t>ALA</t>
  </si>
  <si>
    <t>Diabetic neuropathy</t>
  </si>
  <si>
    <t>Alpha tocopherol</t>
  </si>
  <si>
    <t>Natelle</t>
  </si>
  <si>
    <t>Vitamin E</t>
  </si>
  <si>
    <t>General health</t>
  </si>
  <si>
    <t xml:space="preserve">Alpha-1 proteinase </t>
  </si>
  <si>
    <t>Glassia</t>
  </si>
  <si>
    <t>A1AT deficiency</t>
  </si>
  <si>
    <t>Alprazolam</t>
  </si>
  <si>
    <t>Xanax</t>
  </si>
  <si>
    <t>Sedative/Hypnotic</t>
  </si>
  <si>
    <t>Altretamine</t>
  </si>
  <si>
    <t>Hexalen</t>
  </si>
  <si>
    <t>Solid tumors</t>
  </si>
  <si>
    <t>Amantadine</t>
  </si>
  <si>
    <t>Symmetrel</t>
  </si>
  <si>
    <t>Parkinson disease</t>
  </si>
  <si>
    <t>Ambenonium</t>
  </si>
  <si>
    <t>Mytelase</t>
  </si>
  <si>
    <t>Myasthenia</t>
  </si>
  <si>
    <t>Ambrisentan</t>
  </si>
  <si>
    <t>Letairis</t>
  </si>
  <si>
    <t>Pulmonary hypertension</t>
  </si>
  <si>
    <t>Amifampridine</t>
  </si>
  <si>
    <t>Firdapse</t>
  </si>
  <si>
    <t xml:space="preserve">Myasthenia </t>
  </si>
  <si>
    <t>Amifostine</t>
  </si>
  <si>
    <t>Ethyol</t>
  </si>
  <si>
    <t>Cisplatin antidote</t>
  </si>
  <si>
    <t>Amikacin</t>
  </si>
  <si>
    <t>Amikin</t>
  </si>
  <si>
    <t>Antibacterial</t>
  </si>
  <si>
    <t>Amiloride</t>
  </si>
  <si>
    <t>Midamor</t>
  </si>
  <si>
    <t>Aminocaproic Acid</t>
  </si>
  <si>
    <t>Amicar</t>
  </si>
  <si>
    <t>Hematologic</t>
  </si>
  <si>
    <t>Procoagulant</t>
  </si>
  <si>
    <t>Aminoglutethimide</t>
  </si>
  <si>
    <t>Cytadren</t>
  </si>
  <si>
    <t>Cushings syndrome</t>
  </si>
  <si>
    <t>Aminophylline</t>
  </si>
  <si>
    <t>Asthmacon</t>
  </si>
  <si>
    <t>Xanthine Derivatives</t>
  </si>
  <si>
    <t>Aminosalicylic acid</t>
  </si>
  <si>
    <t>Asacol</t>
  </si>
  <si>
    <t>&lt;1960</t>
  </si>
  <si>
    <t>Antituberculosis</t>
  </si>
  <si>
    <t>Amiodarone</t>
  </si>
  <si>
    <t>Cordarone</t>
  </si>
  <si>
    <t>Antiarrhythmic</t>
  </si>
  <si>
    <t>Amisulpride</t>
  </si>
  <si>
    <t>Barhemsys</t>
  </si>
  <si>
    <t>Anti-emetic</t>
  </si>
  <si>
    <t>Amitriptyline</t>
  </si>
  <si>
    <t>Elavil</t>
  </si>
  <si>
    <t>Antidepressant</t>
  </si>
  <si>
    <t>Amivantamab</t>
  </si>
  <si>
    <t>Rybrevant</t>
  </si>
  <si>
    <t>NCSLC (EGFR exon 20)</t>
  </si>
  <si>
    <t>Amlodipine</t>
  </si>
  <si>
    <t xml:space="preserve">Norvasc </t>
  </si>
  <si>
    <t>Amobarbital</t>
  </si>
  <si>
    <t>Tuinal</t>
  </si>
  <si>
    <t>Barbiturates</t>
  </si>
  <si>
    <t>Amodiaquine</t>
  </si>
  <si>
    <t>Camoquine</t>
  </si>
  <si>
    <t>Antimalarial</t>
  </si>
  <si>
    <t>Amoxapine</t>
  </si>
  <si>
    <t>Asendin</t>
  </si>
  <si>
    <t>Amoxicillin</t>
  </si>
  <si>
    <t>Amoxil</t>
  </si>
  <si>
    <t>Amphetamines</t>
  </si>
  <si>
    <t>Adderall</t>
  </si>
  <si>
    <t>Stimulant</t>
  </si>
  <si>
    <t>Amphotericin-B</t>
  </si>
  <si>
    <t>Amphocin</t>
  </si>
  <si>
    <t>Antifungal</t>
  </si>
  <si>
    <t>Ampicillin</t>
  </si>
  <si>
    <t>Polycillin</t>
  </si>
  <si>
    <t>Amprenavir</t>
  </si>
  <si>
    <t>Agenerase</t>
  </si>
  <si>
    <t>Fosamprenavir</t>
  </si>
  <si>
    <t>Anagrelide</t>
  </si>
  <si>
    <t>Agrylin</t>
  </si>
  <si>
    <t>Thrombocytosis</t>
  </si>
  <si>
    <t>Anakinra</t>
  </si>
  <si>
    <t>Kineret</t>
  </si>
  <si>
    <t>Anastrozole</t>
  </si>
  <si>
    <t>Arimidex</t>
  </si>
  <si>
    <t>Breast cancer</t>
  </si>
  <si>
    <t>Andarine</t>
  </si>
  <si>
    <t>GTx-007</t>
  </si>
  <si>
    <t>Select Androgen Rpt Mod</t>
  </si>
  <si>
    <t>Muscle Building</t>
  </si>
  <si>
    <t>Androgenic steroids</t>
  </si>
  <si>
    <t>Group name</t>
  </si>
  <si>
    <t>Hormone replacement</t>
  </si>
  <si>
    <t>Androstenedione</t>
  </si>
  <si>
    <t>HDS: Anabolic steroid</t>
  </si>
  <si>
    <t>Body building</t>
  </si>
  <si>
    <t>Anidulafungin</t>
  </si>
  <si>
    <t>Eraxis</t>
  </si>
  <si>
    <t>Echinocandins</t>
  </si>
  <si>
    <t>Anifrolumab</t>
  </si>
  <si>
    <t>Saphnelo</t>
  </si>
  <si>
    <t>SLE</t>
  </si>
  <si>
    <t>Antithymocyte globulin</t>
  </si>
  <si>
    <t>ATGAM</t>
  </si>
  <si>
    <t>Aplastic anemia</t>
  </si>
  <si>
    <t>Apalutamide</t>
  </si>
  <si>
    <t>Erleada</t>
  </si>
  <si>
    <t>Apixaban</t>
  </si>
  <si>
    <t>Eliquis</t>
  </si>
  <si>
    <t>Anticoagulant</t>
  </si>
  <si>
    <t>Apoaequorin</t>
  </si>
  <si>
    <t>Prevagen</t>
  </si>
  <si>
    <t>Memory loss</t>
  </si>
  <si>
    <t>Apomorphine</t>
  </si>
  <si>
    <t>Apokyn</t>
  </si>
  <si>
    <t>Apremilast</t>
  </si>
  <si>
    <t>Otezla</t>
  </si>
  <si>
    <t>Aprepitant</t>
  </si>
  <si>
    <t>Emend</t>
  </si>
  <si>
    <t>Antiemetic</t>
  </si>
  <si>
    <t>Aprocitentan</t>
  </si>
  <si>
    <t>Tryvio</t>
  </si>
  <si>
    <t>Hypertension</t>
  </si>
  <si>
    <t>Arimoclomol Citrate</t>
  </si>
  <si>
    <t>Miplyffa</t>
  </si>
  <si>
    <t>Genetic diseases</t>
  </si>
  <si>
    <t>Niemann-Pick, type C</t>
  </si>
  <si>
    <t>Aripiprazole</t>
  </si>
  <si>
    <t>Abilify</t>
  </si>
  <si>
    <t>Antipsychotic</t>
  </si>
  <si>
    <t>Armodafinil</t>
  </si>
  <si>
    <t>Nuvigil</t>
  </si>
  <si>
    <t>Modafinil</t>
  </si>
  <si>
    <t>Arnica montana</t>
  </si>
  <si>
    <t>Wounds, bruises, healing</t>
  </si>
  <si>
    <t>Arsenic</t>
  </si>
  <si>
    <t>None</t>
  </si>
  <si>
    <t xml:space="preserve">Heavy metal  </t>
  </si>
  <si>
    <t>Artecaine</t>
  </si>
  <si>
    <t>Septocaine</t>
  </si>
  <si>
    <t>Amide Local Anesthetics</t>
  </si>
  <si>
    <t>Anesthetic, local</t>
  </si>
  <si>
    <t>Artemisinin</t>
  </si>
  <si>
    <t>Coartem</t>
  </si>
  <si>
    <t>Artesunate</t>
  </si>
  <si>
    <t>Malaria</t>
  </si>
  <si>
    <t>Asciminib</t>
  </si>
  <si>
    <t>Scemblix</t>
  </si>
  <si>
    <t>CML, Ph+</t>
  </si>
  <si>
    <t>Ascorbic acid</t>
  </si>
  <si>
    <t>C Complex</t>
  </si>
  <si>
    <t>Vitamin C</t>
  </si>
  <si>
    <t>Asenapine</t>
  </si>
  <si>
    <t>Saphris</t>
  </si>
  <si>
    <t>Ashwagandha</t>
  </si>
  <si>
    <t>Energy boost</t>
  </si>
  <si>
    <t>Asparaginase</t>
  </si>
  <si>
    <t>Eispar</t>
  </si>
  <si>
    <t>Solid tumors, Leukemia</t>
  </si>
  <si>
    <t>Asparaginase erwinia</t>
  </si>
  <si>
    <t>Rylase</t>
  </si>
  <si>
    <t>Acute Lymphocytic Leukemia</t>
  </si>
  <si>
    <t>Aspirin</t>
  </si>
  <si>
    <t>Astralgus</t>
  </si>
  <si>
    <t>Well being</t>
  </si>
  <si>
    <t>Asunaprevir</t>
  </si>
  <si>
    <t>Protease Inhibitors (HCV)</t>
  </si>
  <si>
    <t>Antiviral: HCV</t>
  </si>
  <si>
    <t>Atazanavir</t>
  </si>
  <si>
    <t>Reyataz</t>
  </si>
  <si>
    <t>Atenolol</t>
  </si>
  <si>
    <t>Tenormin</t>
  </si>
  <si>
    <t>Atezolizumab</t>
  </si>
  <si>
    <t>Tecentriq</t>
  </si>
  <si>
    <t>Bladder cancer</t>
  </si>
  <si>
    <t>Atogepant</t>
  </si>
  <si>
    <t>Qulipta</t>
  </si>
  <si>
    <t>Episodic Migraine</t>
  </si>
  <si>
    <t>Atoltivimab</t>
  </si>
  <si>
    <t>Inmazeb</t>
  </si>
  <si>
    <t>REGN-3EB</t>
  </si>
  <si>
    <t>Acute Ebola virus infection</t>
  </si>
  <si>
    <t>Atomoxetine</t>
  </si>
  <si>
    <t>Strattera</t>
  </si>
  <si>
    <t>ADHD</t>
  </si>
  <si>
    <t>Atorvastatin</t>
  </si>
  <si>
    <t>Lipitor</t>
  </si>
  <si>
    <t>Atovaquone</t>
  </si>
  <si>
    <t xml:space="preserve">Malarone </t>
  </si>
  <si>
    <t>Atrasentan</t>
  </si>
  <si>
    <t>Vanrafia</t>
  </si>
  <si>
    <t>Renal Disease</t>
  </si>
  <si>
    <t>IgA nephropathy</t>
  </si>
  <si>
    <t>Atropine</t>
  </si>
  <si>
    <t>Alkabel</t>
  </si>
  <si>
    <t>Tachycardia</t>
  </si>
  <si>
    <t>Attapulgite</t>
  </si>
  <si>
    <t>Kaopectate</t>
  </si>
  <si>
    <t>Diarrhea</t>
  </si>
  <si>
    <t>Auranofin</t>
  </si>
  <si>
    <t>Ridaura</t>
  </si>
  <si>
    <t>Rheumatoid arthritis</t>
  </si>
  <si>
    <t>Aurothiomalate</t>
  </si>
  <si>
    <t>Myochrysine</t>
  </si>
  <si>
    <t>Gold Preparations</t>
  </si>
  <si>
    <t>Avacincaptad pegol</t>
  </si>
  <si>
    <t>Izervay</t>
  </si>
  <si>
    <t>Avacopan</t>
  </si>
  <si>
    <t>Tavneos</t>
  </si>
  <si>
    <t>ANCA-associated vasculitis</t>
  </si>
  <si>
    <t>Avalglucosidase alfa</t>
  </si>
  <si>
    <t>Nexviazyne</t>
  </si>
  <si>
    <t>Pompe's diseae</t>
  </si>
  <si>
    <t>Avanafil</t>
  </si>
  <si>
    <t>Stendra</t>
  </si>
  <si>
    <t>Erectile Dysfunction</t>
  </si>
  <si>
    <t>Avapritinib</t>
  </si>
  <si>
    <t>Ayvakit</t>
  </si>
  <si>
    <t>GIST</t>
  </si>
  <si>
    <t>Avatrombopag</t>
  </si>
  <si>
    <t>Doptelet</t>
  </si>
  <si>
    <t>Thrombopoietin Rcpt Agonists</t>
  </si>
  <si>
    <t>Thrombocytopenia</t>
  </si>
  <si>
    <t>Avelumab</t>
  </si>
  <si>
    <t>Bavencio</t>
  </si>
  <si>
    <t>Merkel Cell Cancer</t>
  </si>
  <si>
    <t>Avibactam</t>
  </si>
  <si>
    <t>Ayvcaz</t>
  </si>
  <si>
    <t>Pharmacokinetic Enhancers</t>
  </si>
  <si>
    <t>Avutometinib/defactinib</t>
  </si>
  <si>
    <t>Avmapki Fakzynja</t>
  </si>
  <si>
    <t xml:space="preserve">Ovarian Ca w KRAS </t>
  </si>
  <si>
    <t>Axatilimab</t>
  </si>
  <si>
    <t>Niktimvo</t>
  </si>
  <si>
    <t>Immunologic</t>
  </si>
  <si>
    <t>Chronic Graft-vs-Host Disease</t>
  </si>
  <si>
    <t>Axitinib</t>
  </si>
  <si>
    <t>Inlyta</t>
  </si>
  <si>
    <t>Azacitidine</t>
  </si>
  <si>
    <t>Vidaza</t>
  </si>
  <si>
    <t xml:space="preserve">Acute myelo leukemia, MDS, </t>
  </si>
  <si>
    <t>Azathioprine</t>
  </si>
  <si>
    <t>Imuran</t>
  </si>
  <si>
    <t>Azilsartan</t>
  </si>
  <si>
    <t>Edarbi</t>
  </si>
  <si>
    <t>Azithromycin</t>
  </si>
  <si>
    <t>Zithromax</t>
  </si>
  <si>
    <t>Aztreonam</t>
  </si>
  <si>
    <t>Azactam</t>
  </si>
  <si>
    <t>Ba Jiao Lian</t>
  </si>
  <si>
    <t>Baclofen</t>
  </si>
  <si>
    <t>Lioresal</t>
  </si>
  <si>
    <t>Muscle relaxant</t>
  </si>
  <si>
    <t>Bacopa</t>
  </si>
  <si>
    <t>Bacopa monnieri</t>
  </si>
  <si>
    <t>Cognitive function</t>
  </si>
  <si>
    <t>Baloxavir</t>
  </si>
  <si>
    <t>Xofluza</t>
  </si>
  <si>
    <t xml:space="preserve">Antiviral: Influenza </t>
  </si>
  <si>
    <t>Balsalazide</t>
  </si>
  <si>
    <t>Colazal</t>
  </si>
  <si>
    <t>Mesalamine</t>
  </si>
  <si>
    <t>Inflammatory bowel disease</t>
  </si>
  <si>
    <t>Bamlanivimab</t>
  </si>
  <si>
    <t>LY-CoV555</t>
  </si>
  <si>
    <t>COVID-19 Monoclonal Antibodies</t>
  </si>
  <si>
    <t>COVID-19</t>
  </si>
  <si>
    <t>Baricitinib</t>
  </si>
  <si>
    <t>Olumiant</t>
  </si>
  <si>
    <t>Basiliximab</t>
  </si>
  <si>
    <t>Simulect</t>
  </si>
  <si>
    <t>Bazedoxifene</t>
  </si>
  <si>
    <t>Duavee</t>
  </si>
  <si>
    <t>Selective Estrogen Receptor Modulators</t>
  </si>
  <si>
    <t>Gynecological</t>
  </si>
  <si>
    <t>Estrogen</t>
  </si>
  <si>
    <t>Bedaquiline</t>
  </si>
  <si>
    <t>Sirturo</t>
  </si>
  <si>
    <t>Bee Pollen</t>
  </si>
  <si>
    <t>Bee Products</t>
  </si>
  <si>
    <t>Beeswax</t>
  </si>
  <si>
    <t>Belantamab-Mafodotin</t>
  </si>
  <si>
    <t>Blenrep</t>
  </si>
  <si>
    <t xml:space="preserve">Lymphoma, B cell </t>
  </si>
  <si>
    <t>Belimumab</t>
  </si>
  <si>
    <t>Benlysta</t>
  </si>
  <si>
    <t>Belinostat</t>
  </si>
  <si>
    <t>Beleodaq</t>
  </si>
  <si>
    <t>Lymphoma</t>
  </si>
  <si>
    <t xml:space="preserve">Belladonna </t>
  </si>
  <si>
    <t>Butibel</t>
  </si>
  <si>
    <t>Anticholinergic Agents</t>
  </si>
  <si>
    <t>Belumosudil Mesylate</t>
  </si>
  <si>
    <t>Rezurock</t>
  </si>
  <si>
    <t>Chronic GvH disease</t>
  </si>
  <si>
    <t>Belzutifan</t>
  </si>
  <si>
    <t>Welireg</t>
  </si>
  <si>
    <t>von Hippel Landau (cancers)</t>
  </si>
  <si>
    <t>Bempedoic acid</t>
  </si>
  <si>
    <t>Nexletol</t>
  </si>
  <si>
    <t>Hypercholesterolemia</t>
  </si>
  <si>
    <t>Benazepril</t>
  </si>
  <si>
    <t>Lotensin</t>
  </si>
  <si>
    <t>Bendamustine</t>
  </si>
  <si>
    <t>Treanda</t>
  </si>
  <si>
    <t>Leukemia, Lymphoma</t>
  </si>
  <si>
    <t>Bendroflumethiazide</t>
  </si>
  <si>
    <t>Aprinox</t>
  </si>
  <si>
    <t>Thiazide Diuretics</t>
  </si>
  <si>
    <t>Benralizumab</t>
  </si>
  <si>
    <t>Fasenra</t>
  </si>
  <si>
    <t>Benzarone</t>
  </si>
  <si>
    <t>Benzbromarone</t>
  </si>
  <si>
    <t>Never</t>
  </si>
  <si>
    <t>Peripheral Vascular Disease</t>
  </si>
  <si>
    <t>Uribrone</t>
  </si>
  <si>
    <t>Benznidazole</t>
  </si>
  <si>
    <t>Benzinidazole</t>
  </si>
  <si>
    <t>Chagas disease</t>
  </si>
  <si>
    <t>Benzphetamine</t>
  </si>
  <si>
    <t>Didrex</t>
  </si>
  <si>
    <t>Weight loss agent</t>
  </si>
  <si>
    <t>Obesity</t>
  </si>
  <si>
    <t>Benztropine</t>
  </si>
  <si>
    <t>Cogentin</t>
  </si>
  <si>
    <t>Berberine</t>
  </si>
  <si>
    <t>Berotralstat</t>
  </si>
  <si>
    <t>Orladeyo</t>
  </si>
  <si>
    <t>Hereditary Angioedema</t>
  </si>
  <si>
    <t>Beta Carotene</t>
  </si>
  <si>
    <t>B-Caro-T</t>
  </si>
  <si>
    <t>Vitamin A</t>
  </si>
  <si>
    <t>Betaine</t>
  </si>
  <si>
    <t>Cystadane</t>
  </si>
  <si>
    <t>Homocystinuria</t>
  </si>
  <si>
    <t>Betamethasone</t>
  </si>
  <si>
    <t>Adbeon</t>
  </si>
  <si>
    <t>Corticosteroids</t>
  </si>
  <si>
    <t>Immune suppression</t>
  </si>
  <si>
    <t>Betaxolol</t>
  </si>
  <si>
    <t>Kerlone</t>
  </si>
  <si>
    <t>Bethanechol</t>
  </si>
  <si>
    <t>Urecholine</t>
  </si>
  <si>
    <t>Bladder stimulant</t>
  </si>
  <si>
    <t>Betrixaban</t>
  </si>
  <si>
    <t>Devyxxa</t>
  </si>
  <si>
    <t>Venous thrombosis</t>
  </si>
  <si>
    <t>Bevacizumab</t>
  </si>
  <si>
    <t>Avastin</t>
  </si>
  <si>
    <t>Bexagliflozin</t>
  </si>
  <si>
    <t>Brenzavvy</t>
  </si>
  <si>
    <t>SGLT Inhibitors</t>
  </si>
  <si>
    <t>Type 2 Diabetes</t>
  </si>
  <si>
    <t>Bexarotene</t>
  </si>
  <si>
    <t>Targretin</t>
  </si>
  <si>
    <t>Bezlotoxumab</t>
  </si>
  <si>
    <t>Zinplava</t>
  </si>
  <si>
    <t xml:space="preserve">C. difficile </t>
  </si>
  <si>
    <t>Bicalutamide</t>
  </si>
  <si>
    <t>Casodex</t>
  </si>
  <si>
    <t>Bictegravir</t>
  </si>
  <si>
    <t>Biktarvy</t>
  </si>
  <si>
    <t>HIV infection</t>
  </si>
  <si>
    <t>Bilberry</t>
  </si>
  <si>
    <t>Leg-Gesic</t>
  </si>
  <si>
    <t>Retinopathy</t>
  </si>
  <si>
    <t>Bimekizumab</t>
  </si>
  <si>
    <t>Bimzelx</t>
  </si>
  <si>
    <t>Binimetinib</t>
  </si>
  <si>
    <t>Mektovi</t>
  </si>
  <si>
    <t>Encorafenib</t>
  </si>
  <si>
    <t>Melanoma</t>
  </si>
  <si>
    <t>Biotin</t>
  </si>
  <si>
    <t>Appearex</t>
  </si>
  <si>
    <t>Vitamin B</t>
  </si>
  <si>
    <t>Biperiden</t>
  </si>
  <si>
    <t>Bisacodyl</t>
  </si>
  <si>
    <t xml:space="preserve">Bismuth </t>
  </si>
  <si>
    <t>Kapectolin</t>
  </si>
  <si>
    <t>Bismuth</t>
  </si>
  <si>
    <t>Bisoprolol</t>
  </si>
  <si>
    <t>Zebeta</t>
  </si>
  <si>
    <t>Bitolterol</t>
  </si>
  <si>
    <t>Tornalate</t>
  </si>
  <si>
    <t>Bitter melon</t>
  </si>
  <si>
    <t xml:space="preserve">Wonder Patch </t>
  </si>
  <si>
    <t>Bitter Melon</t>
  </si>
  <si>
    <t>Bivalirudin</t>
  </si>
  <si>
    <t>Angiomax</t>
  </si>
  <si>
    <t>Desrudin</t>
  </si>
  <si>
    <t>Black cohosh</t>
  </si>
  <si>
    <t>Menopausal symptoms</t>
  </si>
  <si>
    <t>Black cumin seed</t>
  </si>
  <si>
    <t>Bleomycin</t>
  </si>
  <si>
    <t>Blenoxane</t>
  </si>
  <si>
    <t>Blinatumomab</t>
  </si>
  <si>
    <t>Blincyto</t>
  </si>
  <si>
    <t>Leukemia</t>
  </si>
  <si>
    <t>Boceprevir</t>
  </si>
  <si>
    <t>Victrelis</t>
  </si>
  <si>
    <t>Bortezomib</t>
  </si>
  <si>
    <t>Velcade</t>
  </si>
  <si>
    <t>Multiple myeloma</t>
  </si>
  <si>
    <t>Bosentan</t>
  </si>
  <si>
    <t>Tracleer</t>
  </si>
  <si>
    <t>Bosutinib</t>
  </si>
  <si>
    <t>Bosulif</t>
  </si>
  <si>
    <t>Boswellia serrata</t>
  </si>
  <si>
    <t>Colitis</t>
  </si>
  <si>
    <t>Bremelanotide</t>
  </si>
  <si>
    <t>Vyleesi</t>
  </si>
  <si>
    <t>Hypoactive sexual desire ds</t>
  </si>
  <si>
    <t>Brensocatib</t>
  </si>
  <si>
    <t>Brinsupri</t>
  </si>
  <si>
    <t>Pulmonary</t>
  </si>
  <si>
    <t>Bronchiectasis</t>
  </si>
  <si>
    <t>Brentuximab Vedotin</t>
  </si>
  <si>
    <t>Adcetris</t>
  </si>
  <si>
    <t>Brexanolone</t>
  </si>
  <si>
    <t>Zulresso</t>
  </si>
  <si>
    <t>Post-partum depression</t>
  </si>
  <si>
    <t>Brexpiprazole</t>
  </si>
  <si>
    <t>Rexulti</t>
  </si>
  <si>
    <t>Brigatinib</t>
  </si>
  <si>
    <t>Alunbrig</t>
  </si>
  <si>
    <t>NSCLC</t>
  </si>
  <si>
    <t>Brincidofovir</t>
  </si>
  <si>
    <t>Tembexa</t>
  </si>
  <si>
    <t>Antiviral: Smallpox</t>
  </si>
  <si>
    <t>Brivaracetam</t>
  </si>
  <si>
    <t>Briviact</t>
  </si>
  <si>
    <t>Anticonvulsant</t>
  </si>
  <si>
    <t>Brodalumab</t>
  </si>
  <si>
    <t>Siliq</t>
  </si>
  <si>
    <t>Brolucizumab</t>
  </si>
  <si>
    <t>Beovu</t>
  </si>
  <si>
    <t>Bromelain</t>
  </si>
  <si>
    <t>Ananas comosus</t>
  </si>
  <si>
    <t>Bromelin</t>
  </si>
  <si>
    <t>Wound care</t>
  </si>
  <si>
    <t>Bromocriptine</t>
  </si>
  <si>
    <t>Parlodel</t>
  </si>
  <si>
    <t>Brompheniramine</t>
  </si>
  <si>
    <t xml:space="preserve">AccuHist </t>
  </si>
  <si>
    <t>Buchu</t>
  </si>
  <si>
    <t>Tonic</t>
  </si>
  <si>
    <t>Budesonide</t>
  </si>
  <si>
    <t>Rhinocort</t>
  </si>
  <si>
    <t>Bumetanide</t>
  </si>
  <si>
    <t>Bumex</t>
  </si>
  <si>
    <t>Loop Diuretics</t>
  </si>
  <si>
    <t>Bupivacaine</t>
  </si>
  <si>
    <t>Marcaine</t>
  </si>
  <si>
    <t>Buprenorphine</t>
  </si>
  <si>
    <t>Buprenex</t>
  </si>
  <si>
    <t>B[HD]</t>
  </si>
  <si>
    <t>Opiate addiction</t>
  </si>
  <si>
    <t>Bupropion</t>
  </si>
  <si>
    <t>Wellbutrin, Zyban</t>
  </si>
  <si>
    <t>Burosumab</t>
  </si>
  <si>
    <t>Crysvita</t>
  </si>
  <si>
    <t>X-linked hypophosphatemia</t>
  </si>
  <si>
    <t>Buspirone</t>
  </si>
  <si>
    <t>Buspar</t>
  </si>
  <si>
    <t>Busulfan</t>
  </si>
  <si>
    <t>Myleran</t>
  </si>
  <si>
    <t>Butabarbital</t>
  </si>
  <si>
    <t>Soneryl</t>
  </si>
  <si>
    <t>Butalbital</t>
  </si>
  <si>
    <t>Alagesic</t>
  </si>
  <si>
    <t>Butorphanol</t>
  </si>
  <si>
    <t>Stadol</t>
  </si>
  <si>
    <t>Butterbur</t>
  </si>
  <si>
    <t>Migraine headaches</t>
  </si>
  <si>
    <t>C1 Esterase Inh (Plasma)</t>
  </si>
  <si>
    <t>Cinryze, Haegarda, Berinert</t>
  </si>
  <si>
    <t>HAE Agents</t>
  </si>
  <si>
    <t>C1 Esterase Inh (Recombinant)</t>
  </si>
  <si>
    <t>Ruconest</t>
  </si>
  <si>
    <t>Cabazitaxel</t>
  </si>
  <si>
    <t>Jevtana</t>
  </si>
  <si>
    <t>Cabergoline</t>
  </si>
  <si>
    <t>Dostinex</t>
  </si>
  <si>
    <t>Cabotegravir</t>
  </si>
  <si>
    <t>Vocabria</t>
  </si>
  <si>
    <t>Cabozantinib</t>
  </si>
  <si>
    <t>Cometriq</t>
  </si>
  <si>
    <t>Thyroid cancer</t>
  </si>
  <si>
    <t>Cadmium</t>
  </si>
  <si>
    <t>Trace Elements and Metals</t>
  </si>
  <si>
    <t>Heavy metal</t>
  </si>
  <si>
    <t>Caffeine</t>
  </si>
  <si>
    <t>Arcet</t>
  </si>
  <si>
    <t>Calaspargase Pegol</t>
  </si>
  <si>
    <t>Asparlas</t>
  </si>
  <si>
    <t xml:space="preserve">ALL </t>
  </si>
  <si>
    <t>Calcitonin</t>
  </si>
  <si>
    <t>Calcimar</t>
  </si>
  <si>
    <t>Calcitriol</t>
  </si>
  <si>
    <t>Vitamin D</t>
  </si>
  <si>
    <t>Canagliflozin</t>
  </si>
  <si>
    <t>Invokana</t>
  </si>
  <si>
    <t>SGLT-2 Inhibitors</t>
  </si>
  <si>
    <t>Canakinumab</t>
  </si>
  <si>
    <t>Ilaris</t>
  </si>
  <si>
    <t>Juvenile arthritis</t>
  </si>
  <si>
    <t>Candesartan</t>
  </si>
  <si>
    <t>Atacand</t>
  </si>
  <si>
    <t>Cangrelor</t>
  </si>
  <si>
    <t>Kengreal</t>
  </si>
  <si>
    <t>Antiplatelet</t>
  </si>
  <si>
    <t>Cannabidiol</t>
  </si>
  <si>
    <t>Epidiolex</t>
  </si>
  <si>
    <t>Capecitabine</t>
  </si>
  <si>
    <t>Xeloda</t>
  </si>
  <si>
    <t>Capivasertinib</t>
  </si>
  <si>
    <t>Truqap</t>
  </si>
  <si>
    <t>Breast CA, HR+, HER2-ve</t>
  </si>
  <si>
    <t>Caplacizumab</t>
  </si>
  <si>
    <t>Cablivi</t>
  </si>
  <si>
    <t>TTP</t>
  </si>
  <si>
    <t>Capmatinib</t>
  </si>
  <si>
    <t>Tabrecta</t>
  </si>
  <si>
    <t>Capreomycin</t>
  </si>
  <si>
    <t>Capastat</t>
  </si>
  <si>
    <t>Captopril</t>
  </si>
  <si>
    <t>Capoten</t>
  </si>
  <si>
    <t>Caramiphen</t>
  </si>
  <si>
    <t>Ordrine AT</t>
  </si>
  <si>
    <t>Carbamazepine</t>
  </si>
  <si>
    <t>Tegretol</t>
  </si>
  <si>
    <t>Carbenicillin</t>
  </si>
  <si>
    <t>Geocillin</t>
  </si>
  <si>
    <t>Penicillins (4th Generation)</t>
  </si>
  <si>
    <t>Carbidopa</t>
  </si>
  <si>
    <t>Sinemet</t>
  </si>
  <si>
    <t>Levodopa</t>
  </si>
  <si>
    <t>Carbinoxamine</t>
  </si>
  <si>
    <t>Andec</t>
  </si>
  <si>
    <t>Carboplatin</t>
  </si>
  <si>
    <t>Paraplatin</t>
  </si>
  <si>
    <t>Cardarine</t>
  </si>
  <si>
    <t>GW-516</t>
  </si>
  <si>
    <t>Carfilzomib</t>
  </si>
  <si>
    <t>Kyprolis</t>
  </si>
  <si>
    <t>Carglumic acid</t>
  </si>
  <si>
    <t>Carbaglu</t>
  </si>
  <si>
    <t>Hyperammonemia</t>
  </si>
  <si>
    <t>Cariprazine</t>
  </si>
  <si>
    <t>Vraylar</t>
  </si>
  <si>
    <t>Carisoprodol</t>
  </si>
  <si>
    <t>Arisoprodol</t>
  </si>
  <si>
    <t>Carmustine</t>
  </si>
  <si>
    <t>Gliadel, BCNU</t>
  </si>
  <si>
    <t>Carvedilol</t>
  </si>
  <si>
    <t>Eucardic</t>
  </si>
  <si>
    <t>Casanthranol</t>
  </si>
  <si>
    <t xml:space="preserve">Cascara </t>
  </si>
  <si>
    <t>Caroid Laxative</t>
  </si>
  <si>
    <t>Casimersen</t>
  </si>
  <si>
    <t>Amondys 45</t>
  </si>
  <si>
    <t xml:space="preserve">Duchene Muscular Dys </t>
  </si>
  <si>
    <t>Casirivimab</t>
  </si>
  <si>
    <t>REGN-COV2</t>
  </si>
  <si>
    <t>Caspofungin</t>
  </si>
  <si>
    <t>Cancidas</t>
  </si>
  <si>
    <t>Castor Oil</t>
  </si>
  <si>
    <t>Allanderm</t>
  </si>
  <si>
    <t>Gastrointestinal Agents</t>
  </si>
  <si>
    <t>Cat's Claw</t>
  </si>
  <si>
    <t>Arthritis</t>
  </si>
  <si>
    <t>CBD Oil</t>
  </si>
  <si>
    <t>Wellness</t>
  </si>
  <si>
    <t>Cedazuridine</t>
  </si>
  <si>
    <t>InQovi</t>
  </si>
  <si>
    <t>Myelodysplastic syndromes</t>
  </si>
  <si>
    <t>Cefaclor</t>
  </si>
  <si>
    <t>Raniclor</t>
  </si>
  <si>
    <t>Cephalosporins, Oral</t>
  </si>
  <si>
    <t>Cefadroxil</t>
  </si>
  <si>
    <t>Ultracef</t>
  </si>
  <si>
    <t>Cefazolin</t>
  </si>
  <si>
    <t>Ancef</t>
  </si>
  <si>
    <t>Cephalosporins, Parenteral</t>
  </si>
  <si>
    <t>Cefdinir</t>
  </si>
  <si>
    <t>Omnicef</t>
  </si>
  <si>
    <t>Cefditoren</t>
  </si>
  <si>
    <t>Spectracef</t>
  </si>
  <si>
    <t>Cefepime</t>
  </si>
  <si>
    <t>Maxipime</t>
  </si>
  <si>
    <t>Cefiderocol</t>
  </si>
  <si>
    <t>Fetroja</t>
  </si>
  <si>
    <t>Antimicrobiial</t>
  </si>
  <si>
    <t>Cefixime</t>
  </si>
  <si>
    <t>Suprax</t>
  </si>
  <si>
    <t>Cefoperazone</t>
  </si>
  <si>
    <t>Cefobid</t>
  </si>
  <si>
    <t>Cefotaxime</t>
  </si>
  <si>
    <t>Claforan</t>
  </si>
  <si>
    <t>Cefoxitin</t>
  </si>
  <si>
    <t>Mefoxin</t>
  </si>
  <si>
    <t>Cefpodoxime</t>
  </si>
  <si>
    <t>Simplicef</t>
  </si>
  <si>
    <t>Cefprozil</t>
  </si>
  <si>
    <t>Cefzil</t>
  </si>
  <si>
    <t>Ceftaroline</t>
  </si>
  <si>
    <t>Teflaro</t>
  </si>
  <si>
    <t>Ceftazidime</t>
  </si>
  <si>
    <t>Tazidime</t>
  </si>
  <si>
    <t>Ceftibiprole Medocairil</t>
  </si>
  <si>
    <t>Basilea</t>
  </si>
  <si>
    <t>Septicemia, Pneumonia, Skin</t>
  </si>
  <si>
    <t>Ceftibuten</t>
  </si>
  <si>
    <t>Cedax</t>
  </si>
  <si>
    <t>Ceftizoxime</t>
  </si>
  <si>
    <t>Zincaf</t>
  </si>
  <si>
    <t>Ceftolozane</t>
  </si>
  <si>
    <t>Zerbaxa</t>
  </si>
  <si>
    <t>Ceftriaxone</t>
  </si>
  <si>
    <t>Rocephin</t>
  </si>
  <si>
    <t>Cefuroxime</t>
  </si>
  <si>
    <t>Zinnat</t>
  </si>
  <si>
    <t>Cephalosporins, Oral, Parenteral</t>
  </si>
  <si>
    <t>Celandine</t>
  </si>
  <si>
    <t>Dyspepsia</t>
  </si>
  <si>
    <t>Celecoxib</t>
  </si>
  <si>
    <t>Celebrex</t>
  </si>
  <si>
    <t>Mild-Moderate Pain, Arthritis</t>
  </si>
  <si>
    <t>Cemiplimab</t>
  </si>
  <si>
    <t>Libtayo</t>
  </si>
  <si>
    <t>Squamous cell Ca</t>
  </si>
  <si>
    <t>Cenobamate</t>
  </si>
  <si>
    <t>Xcopri</t>
  </si>
  <si>
    <t>Epilepsy</t>
  </si>
  <si>
    <t>Centella</t>
  </si>
  <si>
    <t>Centella asiatica</t>
  </si>
  <si>
    <t>Cephalexin</t>
  </si>
  <si>
    <t>Biocef</t>
  </si>
  <si>
    <t>Cephradine</t>
  </si>
  <si>
    <t>Velocef</t>
  </si>
  <si>
    <t>Ceritinib</t>
  </si>
  <si>
    <t>Zykadia</t>
  </si>
  <si>
    <t xml:space="preserve">Certolizumab </t>
  </si>
  <si>
    <t>Cimzia</t>
  </si>
  <si>
    <t>Cetirizine</t>
  </si>
  <si>
    <t>Zyrtec</t>
  </si>
  <si>
    <t>Cetuximab</t>
  </si>
  <si>
    <t>Erbitux</t>
  </si>
  <si>
    <t>Cevimeline</t>
  </si>
  <si>
    <t>Evoxac</t>
  </si>
  <si>
    <t>Sjogren syndrome</t>
  </si>
  <si>
    <t>Chamomile</t>
  </si>
  <si>
    <t>Chaparral</t>
  </si>
  <si>
    <t>Antioxidant</t>
  </si>
  <si>
    <t>Chaste tree</t>
  </si>
  <si>
    <t>Evitex</t>
  </si>
  <si>
    <t>Chaste  Tree</t>
  </si>
  <si>
    <t>Dysmenorrhea</t>
  </si>
  <si>
    <t>Chenodiol</t>
  </si>
  <si>
    <t>Chenix</t>
  </si>
  <si>
    <t>Gallstones</t>
  </si>
  <si>
    <t>Chi R Yun</t>
  </si>
  <si>
    <t>Heart failure</t>
  </si>
  <si>
    <t>Chloral hydrate</t>
  </si>
  <si>
    <t>Somnote</t>
  </si>
  <si>
    <t>Chlorambucil</t>
  </si>
  <si>
    <t>Leukeran</t>
  </si>
  <si>
    <t>Chloramphenicol</t>
  </si>
  <si>
    <t>Chloromycetin</t>
  </si>
  <si>
    <t>Chlorcyclizine</t>
  </si>
  <si>
    <t>Mantadil</t>
  </si>
  <si>
    <t>Cyclizine</t>
  </si>
  <si>
    <t>Chlordiazepoxide</t>
  </si>
  <si>
    <t>Librium</t>
  </si>
  <si>
    <t>Chloroquine</t>
  </si>
  <si>
    <t>Nivaquine</t>
  </si>
  <si>
    <t>Chlorothiazide</t>
  </si>
  <si>
    <t>Diuril</t>
  </si>
  <si>
    <t>Chlorpheniramine</t>
  </si>
  <si>
    <t>Chlor-Trimeton</t>
  </si>
  <si>
    <t>Chlorpromazine</t>
  </si>
  <si>
    <t>Thorazine</t>
  </si>
  <si>
    <t>Chlorpropamide</t>
  </si>
  <si>
    <t>Diabinese</t>
  </si>
  <si>
    <t>Chlortetracycline</t>
  </si>
  <si>
    <t>Aureomycin</t>
  </si>
  <si>
    <t>Tetracyclines</t>
  </si>
  <si>
    <t>Chlorthalidone</t>
  </si>
  <si>
    <t>Thalitone</t>
  </si>
  <si>
    <t>Chlorzoxazone</t>
  </si>
  <si>
    <t>Tylefon</t>
  </si>
  <si>
    <t xml:space="preserve">Cholestyramine </t>
  </si>
  <si>
    <t>Questran</t>
  </si>
  <si>
    <t>Cholic acid</t>
  </si>
  <si>
    <t>Cholbam</t>
  </si>
  <si>
    <t>D[HD]</t>
  </si>
  <si>
    <t>Bile acid defects</t>
  </si>
  <si>
    <t>Choline</t>
  </si>
  <si>
    <t>Tricosal</t>
  </si>
  <si>
    <t>Trisalicylate</t>
  </si>
  <si>
    <t>Chondroitin Sulfate</t>
  </si>
  <si>
    <t>Viscoat</t>
  </si>
  <si>
    <t>Glucosamine</t>
  </si>
  <si>
    <t>Chorionic gonadotrophin</t>
  </si>
  <si>
    <t>Generic hCG</t>
  </si>
  <si>
    <t>Gonadotropins</t>
  </si>
  <si>
    <t>Fertility agent</t>
  </si>
  <si>
    <t>Chromium</t>
  </si>
  <si>
    <t>Cidofovir</t>
  </si>
  <si>
    <t>Vistide</t>
  </si>
  <si>
    <t>Antiviral: CMV</t>
  </si>
  <si>
    <t>Cilastatin</t>
  </si>
  <si>
    <t>Primaxin IV</t>
  </si>
  <si>
    <t>Imipenem-Cilastatin</t>
  </si>
  <si>
    <t>Cilostazol</t>
  </si>
  <si>
    <t>Pletal</t>
  </si>
  <si>
    <t>Intermittent claudication</t>
  </si>
  <si>
    <t>Cimetidine</t>
  </si>
  <si>
    <t>Tagamet</t>
  </si>
  <si>
    <t>Acid peptic disease</t>
  </si>
  <si>
    <t>Cipaglucosidase</t>
  </si>
  <si>
    <t>Pombiliti</t>
  </si>
  <si>
    <t>Late onset Pompe's disease</t>
  </si>
  <si>
    <t>Ciprofloxacin</t>
  </si>
  <si>
    <t>Proquin</t>
  </si>
  <si>
    <t>Cisapride</t>
  </si>
  <si>
    <t>Propulsid</t>
  </si>
  <si>
    <t>Serotonin 5-HT4 Receptor Agonists</t>
  </si>
  <si>
    <t>Prokinetic agent</t>
  </si>
  <si>
    <t>Cisplatin</t>
  </si>
  <si>
    <t>Platosin</t>
  </si>
  <si>
    <t>Citalopram</t>
  </si>
  <si>
    <t>Celexa</t>
  </si>
  <si>
    <t>Cladribine</t>
  </si>
  <si>
    <t>Leustat</t>
  </si>
  <si>
    <t>Clarithromycin</t>
  </si>
  <si>
    <t>Biaxin</t>
  </si>
  <si>
    <t>Clavulanate</t>
  </si>
  <si>
    <t>Augmentin</t>
  </si>
  <si>
    <t>Amoxicillin-Clavulanate</t>
  </si>
  <si>
    <t>Clemastine</t>
  </si>
  <si>
    <t>Tavist-D</t>
  </si>
  <si>
    <t>Clesrovimab</t>
  </si>
  <si>
    <t>Enflonsia</t>
  </si>
  <si>
    <t>Respiratory Syncytial Virus</t>
  </si>
  <si>
    <t>Clindamycin</t>
  </si>
  <si>
    <t>Ziana</t>
  </si>
  <si>
    <t>Clobazam</t>
  </si>
  <si>
    <t>Frisium, Onfi</t>
  </si>
  <si>
    <t>Clofarabine</t>
  </si>
  <si>
    <t>Clolar</t>
  </si>
  <si>
    <t xml:space="preserve">Leukemia </t>
  </si>
  <si>
    <t>Clofazimine</t>
  </si>
  <si>
    <t>Lamprene</t>
  </si>
  <si>
    <t>Antileprosy</t>
  </si>
  <si>
    <t>Clofibrate</t>
  </si>
  <si>
    <t>Atromid</t>
  </si>
  <si>
    <t>Clomiphene</t>
  </si>
  <si>
    <t>Serophene</t>
  </si>
  <si>
    <t>Infertility agent</t>
  </si>
  <si>
    <t>Clomipramine</t>
  </si>
  <si>
    <t>Anafranil</t>
  </si>
  <si>
    <t>Clonazepam</t>
  </si>
  <si>
    <t>Klonopin</t>
  </si>
  <si>
    <t>Clonidine</t>
  </si>
  <si>
    <t>Duraclon</t>
  </si>
  <si>
    <t>Clopidogrel</t>
  </si>
  <si>
    <t>Plavix</t>
  </si>
  <si>
    <t>Clorazepate</t>
  </si>
  <si>
    <t>Tranxene</t>
  </si>
  <si>
    <t>Clotrimazole</t>
  </si>
  <si>
    <t>Canesten</t>
  </si>
  <si>
    <t>Cloxacillin</t>
  </si>
  <si>
    <t>Tegopen</t>
  </si>
  <si>
    <t>Penicillins (2nd Generation)</t>
  </si>
  <si>
    <t>Clozapine</t>
  </si>
  <si>
    <t xml:space="preserve">Ivax brand </t>
  </si>
  <si>
    <t>Cobicistat</t>
  </si>
  <si>
    <t>Stribild</t>
  </si>
  <si>
    <t>Elvitegravir</t>
  </si>
  <si>
    <t>Cobimetnib</t>
  </si>
  <si>
    <t>Cotellic</t>
  </si>
  <si>
    <t>Cocaine</t>
  </si>
  <si>
    <t>Codeine</t>
  </si>
  <si>
    <t>Zotex C</t>
  </si>
  <si>
    <t>Moderate pain</t>
  </si>
  <si>
    <t>Coenzyme Q10</t>
  </si>
  <si>
    <t>Co-Q10</t>
  </si>
  <si>
    <t>Colchicine</t>
  </si>
  <si>
    <t>Colcrys</t>
  </si>
  <si>
    <t>Colesevelam</t>
  </si>
  <si>
    <t>Welchol</t>
  </si>
  <si>
    <t>Colestipol</t>
  </si>
  <si>
    <t>Colestid</t>
  </si>
  <si>
    <t>Comfrey</t>
  </si>
  <si>
    <t>Concizumab</t>
  </si>
  <si>
    <t>Alhemo</t>
  </si>
  <si>
    <t>Hemophilia A or B</t>
  </si>
  <si>
    <t>Copanlisib</t>
  </si>
  <si>
    <t>Aliqopa</t>
  </si>
  <si>
    <t xml:space="preserve">Copper </t>
  </si>
  <si>
    <t>Trace metal</t>
  </si>
  <si>
    <t>Cordyceps</t>
  </si>
  <si>
    <t>C. sinensis</t>
  </si>
  <si>
    <t>HDS: Herbal</t>
  </si>
  <si>
    <t>Energy</t>
  </si>
  <si>
    <t>Cortisone</t>
  </si>
  <si>
    <t>Cortone acetate</t>
  </si>
  <si>
    <t>Cosibelimab</t>
  </si>
  <si>
    <t>Unloxcyt</t>
  </si>
  <si>
    <t>Squamous cell carcinoma</t>
  </si>
  <si>
    <t>COVID-19 Drugs</t>
  </si>
  <si>
    <t xml:space="preserve">Paxlovid, </t>
  </si>
  <si>
    <t>COVID-19 Monoclonals</t>
  </si>
  <si>
    <t>Soto</t>
  </si>
  <si>
    <t>COVID-19 Vaccines</t>
  </si>
  <si>
    <t>Moderna, Pfizer</t>
  </si>
  <si>
    <t xml:space="preserve">Cranberry </t>
  </si>
  <si>
    <t>Azo-Cranberry</t>
  </si>
  <si>
    <t>Cranberry</t>
  </si>
  <si>
    <t>Urinary symptoms</t>
  </si>
  <si>
    <t>Crinecerfont</t>
  </si>
  <si>
    <t>Crenessity</t>
  </si>
  <si>
    <t>Endocrinologic</t>
  </si>
  <si>
    <t>Adrenal hyperplasia</t>
  </si>
  <si>
    <t>Crizanlizumab</t>
  </si>
  <si>
    <t>Adakveo</t>
  </si>
  <si>
    <t>Sickle Cell Disease</t>
  </si>
  <si>
    <t>Crizotinib</t>
  </si>
  <si>
    <t>Xalkori</t>
  </si>
  <si>
    <t>Crofelemer</t>
  </si>
  <si>
    <t>Fulyzaq</t>
  </si>
  <si>
    <t>Cromolyn</t>
  </si>
  <si>
    <t>Viz-on</t>
  </si>
  <si>
    <t>Antiasthmatic Agents</t>
  </si>
  <si>
    <t>Crovalimab</t>
  </si>
  <si>
    <t>Piasky</t>
  </si>
  <si>
    <t>Paroxysmal Noctural Hemoglobinuria</t>
  </si>
  <si>
    <t>Cyanocobalamin</t>
  </si>
  <si>
    <t>Crystamine</t>
  </si>
  <si>
    <t>Valoid, Marzine</t>
  </si>
  <si>
    <t>Cyclobenzaprine</t>
  </si>
  <si>
    <t>Flexeril</t>
  </si>
  <si>
    <t>Cyclophosphamide</t>
  </si>
  <si>
    <t>Neosar</t>
  </si>
  <si>
    <t>Cycloserine</t>
  </si>
  <si>
    <t>Seromycin</t>
  </si>
  <si>
    <t>Cyclosporine</t>
  </si>
  <si>
    <t>Sangcya</t>
  </si>
  <si>
    <t>Cyproheptadine</t>
  </si>
  <si>
    <t>Periactin</t>
  </si>
  <si>
    <t>Cyproterone</t>
  </si>
  <si>
    <t>Cyprostat</t>
  </si>
  <si>
    <t>Cysteamine</t>
  </si>
  <si>
    <t>Cystagon</t>
  </si>
  <si>
    <t>Cystinosis</t>
  </si>
  <si>
    <t>Cytarabine</t>
  </si>
  <si>
    <t>Tarabine PFS</t>
  </si>
  <si>
    <t xml:space="preserve">Dabigatran </t>
  </si>
  <si>
    <t>Pradaxa</t>
  </si>
  <si>
    <t>Dabrafenib</t>
  </si>
  <si>
    <t>Tafinlar</t>
  </si>
  <si>
    <t>Dacarbazine</t>
  </si>
  <si>
    <t>DTIC-Dome</t>
  </si>
  <si>
    <t>Daclatasvir</t>
  </si>
  <si>
    <t>Daklinza</t>
  </si>
  <si>
    <t>Daclizumab</t>
  </si>
  <si>
    <t>Zenapax</t>
  </si>
  <si>
    <t>Dacomitinib</t>
  </si>
  <si>
    <t>Vizimpro</t>
  </si>
  <si>
    <t>Dactinomycin</t>
  </si>
  <si>
    <t>Cosmegen</t>
  </si>
  <si>
    <t>Dalbavancin</t>
  </si>
  <si>
    <t>Dalvance</t>
  </si>
  <si>
    <t>Glycopeptide Antibiotics</t>
  </si>
  <si>
    <t>Dalfampridine</t>
  </si>
  <si>
    <t>Ampyra</t>
  </si>
  <si>
    <t>Multiple sclerosis</t>
  </si>
  <si>
    <t>Dalfopristin</t>
  </si>
  <si>
    <t>Synercid</t>
  </si>
  <si>
    <t>Quinupristin-Dalfopristin</t>
  </si>
  <si>
    <t>Dalteparin</t>
  </si>
  <si>
    <t>Fragmin</t>
  </si>
  <si>
    <t>Low Molecular Weight Heparins</t>
  </si>
  <si>
    <t>Danazol</t>
  </si>
  <si>
    <t>Danocrine</t>
  </si>
  <si>
    <t>Androgenic Steroids</t>
  </si>
  <si>
    <t>Dantrolene</t>
  </si>
  <si>
    <t>Dantrium</t>
  </si>
  <si>
    <t>Dapagliflozin</t>
  </si>
  <si>
    <t>Farxiga</t>
  </si>
  <si>
    <t>Daprodustat</t>
  </si>
  <si>
    <t>Jesduvroq</t>
  </si>
  <si>
    <t>Anemia  ESKD</t>
  </si>
  <si>
    <t>Dapsone</t>
  </si>
  <si>
    <t>Aczone</t>
  </si>
  <si>
    <t>Daptomycin</t>
  </si>
  <si>
    <t>Cubicin</t>
  </si>
  <si>
    <t>Daratumumab</t>
  </si>
  <si>
    <t>Darzalex</t>
  </si>
  <si>
    <t>Darbepoetin</t>
  </si>
  <si>
    <t>Aranesp</t>
  </si>
  <si>
    <t>Erythropoiesis Stimulating Agents</t>
  </si>
  <si>
    <t>Anemia</t>
  </si>
  <si>
    <t>Daridorexant</t>
  </si>
  <si>
    <t>Quviviq</t>
  </si>
  <si>
    <t>Insomnia</t>
  </si>
  <si>
    <t>Darifenacin</t>
  </si>
  <si>
    <t>Enablex</t>
  </si>
  <si>
    <t>Bladder symptoms</t>
  </si>
  <si>
    <t>Darolutamide</t>
  </si>
  <si>
    <t>Nubeqa</t>
  </si>
  <si>
    <t>Darunavir</t>
  </si>
  <si>
    <t>Prezista</t>
  </si>
  <si>
    <t>Dasabuvir</t>
  </si>
  <si>
    <t>Viekira Pak</t>
  </si>
  <si>
    <t>Vierkira Pak</t>
  </si>
  <si>
    <t>Dasatinib</t>
  </si>
  <si>
    <t>Sprycel</t>
  </si>
  <si>
    <t>Datopotamab Deruxtecan</t>
  </si>
  <si>
    <t>Datroway</t>
  </si>
  <si>
    <t>Daunorubicin</t>
  </si>
  <si>
    <t>Cerubidin</t>
  </si>
  <si>
    <t>Decitabine</t>
  </si>
  <si>
    <t>Dacogen</t>
  </si>
  <si>
    <t>Myelodysplasia</t>
  </si>
  <si>
    <t>Deferasirox</t>
  </si>
  <si>
    <t>Exjade</t>
  </si>
  <si>
    <t>Iron overload</t>
  </si>
  <si>
    <t>Deferiprone</t>
  </si>
  <si>
    <t>Ferriprox</t>
  </si>
  <si>
    <t>Deferoxamine</t>
  </si>
  <si>
    <t>Desferal</t>
  </si>
  <si>
    <t>Defibrotide</t>
  </si>
  <si>
    <t>Defitelo</t>
  </si>
  <si>
    <t>Sinusoidal Obstruction Syn</t>
  </si>
  <si>
    <t>Degarelix</t>
  </si>
  <si>
    <t>Firmagon</t>
  </si>
  <si>
    <t>Dehydroepiandrosterone</t>
  </si>
  <si>
    <t>DHEA</t>
  </si>
  <si>
    <t>Delafloxacin</t>
  </si>
  <si>
    <t>Baxdela</t>
  </si>
  <si>
    <t>Delandistrogene moxeparvovec</t>
  </si>
  <si>
    <t>Evelyns</t>
  </si>
  <si>
    <t>Muscular Dystrophy</t>
  </si>
  <si>
    <t>Delavirdine</t>
  </si>
  <si>
    <t>Rescriptor</t>
  </si>
  <si>
    <t>Delgocitinib</t>
  </si>
  <si>
    <t>Anzupgo</t>
  </si>
  <si>
    <t>Eczema</t>
  </si>
  <si>
    <t>Demeclocycline</t>
  </si>
  <si>
    <t>Declomycin</t>
  </si>
  <si>
    <t>Denileukin diftitox</t>
  </si>
  <si>
    <t>Ontak</t>
  </si>
  <si>
    <t>Denosumab</t>
  </si>
  <si>
    <t>Prolia, Zgeva</t>
  </si>
  <si>
    <t>Depemokimab</t>
  </si>
  <si>
    <t>Exdensur</t>
  </si>
  <si>
    <t>Eosinophilic Asthma</t>
  </si>
  <si>
    <t>Deserpidine</t>
  </si>
  <si>
    <t>Enduronyl</t>
  </si>
  <si>
    <t>Desflurane</t>
  </si>
  <si>
    <t>Suprane</t>
  </si>
  <si>
    <t>Anesthetic, general</t>
  </si>
  <si>
    <t>Desipramine</t>
  </si>
  <si>
    <t>Norpramin</t>
  </si>
  <si>
    <t>Desirudin</t>
  </si>
  <si>
    <t>Iprivask</t>
  </si>
  <si>
    <t>Desloratadine</t>
  </si>
  <si>
    <t>Clarinex</t>
  </si>
  <si>
    <t>Loratadine</t>
  </si>
  <si>
    <t>Desogestrel</t>
  </si>
  <si>
    <t xml:space="preserve">Desogen </t>
  </si>
  <si>
    <t>Progestins</t>
  </si>
  <si>
    <t>Birth control</t>
  </si>
  <si>
    <t>Desvenlafaxine</t>
  </si>
  <si>
    <t>Pristiq</t>
  </si>
  <si>
    <t>Venlafaxine, Desvenlafaxine</t>
  </si>
  <si>
    <t>Deucravacitinib</t>
  </si>
  <si>
    <t>Sotykty</t>
  </si>
  <si>
    <t>Deuruxolitinib</t>
  </si>
  <si>
    <t>Leqselvi</t>
  </si>
  <si>
    <t>Alopecia areata</t>
  </si>
  <si>
    <t>Leqselvie</t>
  </si>
  <si>
    <t>Deutetrabenazine</t>
  </si>
  <si>
    <t>Austedo</t>
  </si>
  <si>
    <t>VMAT2 Inhibitors</t>
  </si>
  <si>
    <t>Chorea, Huntington</t>
  </si>
  <si>
    <t>Deutivacaftor</t>
  </si>
  <si>
    <t>Alyfrek</t>
  </si>
  <si>
    <t>Cystic Fibrosis Agents</t>
  </si>
  <si>
    <t>Cystic fibrosis</t>
  </si>
  <si>
    <t>Alyftrek</t>
  </si>
  <si>
    <t>Dexamethasone</t>
  </si>
  <si>
    <t>Decadron</t>
  </si>
  <si>
    <t>Dexbrompheniramine</t>
  </si>
  <si>
    <t>Drixoral</t>
  </si>
  <si>
    <t>Cold symptoms</t>
  </si>
  <si>
    <t>Dexchlorpheniramine</t>
  </si>
  <si>
    <t>RhinaHist</t>
  </si>
  <si>
    <t>Dexlansoprazole</t>
  </si>
  <si>
    <t>Dexilant</t>
  </si>
  <si>
    <t>Lansoprazole</t>
  </si>
  <si>
    <t>Dexmethylphenidate</t>
  </si>
  <si>
    <t>Focalin</t>
  </si>
  <si>
    <t>Methylphenidate</t>
  </si>
  <si>
    <t>Dextroamphetamine</t>
  </si>
  <si>
    <t>Dextrothyroxine</t>
  </si>
  <si>
    <t>Choloxin</t>
  </si>
  <si>
    <t>Thyroid Hormone</t>
  </si>
  <si>
    <t>Diazepam, Intravenous</t>
  </si>
  <si>
    <t>Valium</t>
  </si>
  <si>
    <t>Diazepam, Oral</t>
  </si>
  <si>
    <t>Dichloralphenazone</t>
  </si>
  <si>
    <t>Diclofenac</t>
  </si>
  <si>
    <t>Acoflam</t>
  </si>
  <si>
    <t>Dicloxacillin</t>
  </si>
  <si>
    <t>Dynapen</t>
  </si>
  <si>
    <t>Dicyclomine</t>
  </si>
  <si>
    <t>Barmine</t>
  </si>
  <si>
    <t>Didanosine</t>
  </si>
  <si>
    <t>Videx</t>
  </si>
  <si>
    <t>Dienestrol</t>
  </si>
  <si>
    <t>Ortho Dienestrol</t>
  </si>
  <si>
    <t>Estrogens</t>
  </si>
  <si>
    <t>Dienogestrol</t>
  </si>
  <si>
    <t>Natazia</t>
  </si>
  <si>
    <t>Diethylpropion</t>
  </si>
  <si>
    <t>Tepanil</t>
  </si>
  <si>
    <t>Difelikefalin acetate</t>
  </si>
  <si>
    <t>Korsuva</t>
  </si>
  <si>
    <t>Pruritus of ESRD</t>
  </si>
  <si>
    <t>Difenoxin</t>
  </si>
  <si>
    <t>Motofen</t>
  </si>
  <si>
    <t>Diflunisal</t>
  </si>
  <si>
    <t>Dolobid</t>
  </si>
  <si>
    <t>Digitoxin</t>
  </si>
  <si>
    <t>Digitaline</t>
  </si>
  <si>
    <t>Cardiac Glycosides</t>
  </si>
  <si>
    <t>&lt;1970</t>
  </si>
  <si>
    <t>Digoxin</t>
  </si>
  <si>
    <t>Lanoxin</t>
  </si>
  <si>
    <t>Dihydrocodeine</t>
  </si>
  <si>
    <t>Synalgos</t>
  </si>
  <si>
    <t>Dihydroergotamine</t>
  </si>
  <si>
    <t>Migranal</t>
  </si>
  <si>
    <t>Ergot Alkaloids</t>
  </si>
  <si>
    <t>Dihydromyricetin</t>
  </si>
  <si>
    <t>Hovenia dulcis</t>
  </si>
  <si>
    <t>Diltiazem</t>
  </si>
  <si>
    <t>Adizem</t>
  </si>
  <si>
    <t>Dimenhydrinate</t>
  </si>
  <si>
    <t>Sominex</t>
  </si>
  <si>
    <t>Dimercaprol</t>
  </si>
  <si>
    <t>BAL in Oil</t>
  </si>
  <si>
    <t>Copper overload</t>
  </si>
  <si>
    <t>Dimethyl Fumarate</t>
  </si>
  <si>
    <t>Tecfibera</t>
  </si>
  <si>
    <t>Dinutuximab</t>
  </si>
  <si>
    <t>Unituxin</t>
  </si>
  <si>
    <t>Neuroblastoma</t>
  </si>
  <si>
    <t>Diphenhydramine</t>
  </si>
  <si>
    <t>Benadryl</t>
  </si>
  <si>
    <t>Diphenoxylate</t>
  </si>
  <si>
    <t>Lomotil</t>
  </si>
  <si>
    <t>Dipyridamole</t>
  </si>
  <si>
    <t>Persantine</t>
  </si>
  <si>
    <t>Diroximel Fumarate</t>
  </si>
  <si>
    <t>Vumerity</t>
  </si>
  <si>
    <t>Disopyramide</t>
  </si>
  <si>
    <t>Isomide CR</t>
  </si>
  <si>
    <t>Disulfiram</t>
  </si>
  <si>
    <t>Antabuse</t>
  </si>
  <si>
    <t>Docetaxel</t>
  </si>
  <si>
    <t>Taxotere</t>
  </si>
  <si>
    <t>Docosahexaenoate</t>
  </si>
  <si>
    <t xml:space="preserve">Sea-Omega </t>
  </si>
  <si>
    <t>Docusate</t>
  </si>
  <si>
    <t>Colase</t>
  </si>
  <si>
    <t>Dofetilide</t>
  </si>
  <si>
    <t>Tikoxyn</t>
  </si>
  <si>
    <t>Dolasetron</t>
  </si>
  <si>
    <t>Anzemet</t>
  </si>
  <si>
    <t>Dolutegravir</t>
  </si>
  <si>
    <t>Tivicay</t>
  </si>
  <si>
    <t>Domperidone</t>
  </si>
  <si>
    <t>Evoxin</t>
  </si>
  <si>
    <t>Donanemab</t>
  </si>
  <si>
    <t>Kisnula</t>
  </si>
  <si>
    <t>Alzheimer Disease</t>
  </si>
  <si>
    <t>Donepezil</t>
  </si>
  <si>
    <t>Aricept</t>
  </si>
  <si>
    <t>Donidalorsen</t>
  </si>
  <si>
    <t>Dawnzera</t>
  </si>
  <si>
    <t>Doravirine</t>
  </si>
  <si>
    <t>Pifeltro</t>
  </si>
  <si>
    <t>Dordaviprone</t>
  </si>
  <si>
    <t>Modeysa</t>
  </si>
  <si>
    <t>Glioma</t>
  </si>
  <si>
    <t>Doripenem</t>
  </si>
  <si>
    <t>Doribax</t>
  </si>
  <si>
    <t>Dostarlimab</t>
  </si>
  <si>
    <t>Jemperli</t>
  </si>
  <si>
    <t>Endometrial Cancer</t>
  </si>
  <si>
    <t>Doxazosin</t>
  </si>
  <si>
    <t>Cardura</t>
  </si>
  <si>
    <t>Doxecitine/Doxribtimine</t>
  </si>
  <si>
    <t>Kygevvi</t>
  </si>
  <si>
    <t>TK2d Deficiency</t>
  </si>
  <si>
    <t>Doxepin</t>
  </si>
  <si>
    <t>Sinequan</t>
  </si>
  <si>
    <t>Doxorubicin</t>
  </si>
  <si>
    <t>Adriamycin</t>
  </si>
  <si>
    <t>Doxycycline</t>
  </si>
  <si>
    <t>Adoxa</t>
  </si>
  <si>
    <t>Doxylamine</t>
  </si>
  <si>
    <t>Unisom</t>
  </si>
  <si>
    <t>Dragon's Blood</t>
  </si>
  <si>
    <t>Diarrhea, HIV pos</t>
  </si>
  <si>
    <t>Dronabinol</t>
  </si>
  <si>
    <t>Marinol</t>
  </si>
  <si>
    <t>Dronedarone</t>
  </si>
  <si>
    <t>Multaq</t>
  </si>
  <si>
    <t>Droperidol</t>
  </si>
  <si>
    <t>Inapsine</t>
  </si>
  <si>
    <t>Drospirenone</t>
  </si>
  <si>
    <t>Yaz</t>
  </si>
  <si>
    <t>Drotrecogin</t>
  </si>
  <si>
    <t>Xigris</t>
  </si>
  <si>
    <t>Droxidopa</t>
  </si>
  <si>
    <t>Northera</t>
  </si>
  <si>
    <t>Dulaglutide</t>
  </si>
  <si>
    <t>Trulicity</t>
  </si>
  <si>
    <t>Duloxetine</t>
  </si>
  <si>
    <t>Cymbalta</t>
  </si>
  <si>
    <t>Dupilumab</t>
  </si>
  <si>
    <t>Dupixent</t>
  </si>
  <si>
    <t>Durlobactam</t>
  </si>
  <si>
    <t>Xacduro</t>
  </si>
  <si>
    <t>Bacterial infection</t>
  </si>
  <si>
    <t>Durvalumab</t>
  </si>
  <si>
    <t>Imfinzi</t>
  </si>
  <si>
    <t>Dutasteride</t>
  </si>
  <si>
    <t>Avodart</t>
  </si>
  <si>
    <t>Duvelisib</t>
  </si>
  <si>
    <t>Copiktra</t>
  </si>
  <si>
    <t>CLL</t>
  </si>
  <si>
    <t>Dydrogesterone</t>
  </si>
  <si>
    <t>Duphaston</t>
  </si>
  <si>
    <t>Dyphylline</t>
  </si>
  <si>
    <t>Brondil</t>
  </si>
  <si>
    <t xml:space="preserve">Echinacea </t>
  </si>
  <si>
    <t xml:space="preserve">Herbon </t>
  </si>
  <si>
    <t>Eculizumab</t>
  </si>
  <si>
    <t>Soiris</t>
  </si>
  <si>
    <t>Paroxysmal Noctural H</t>
  </si>
  <si>
    <t>Edaravone</t>
  </si>
  <si>
    <t>Radicava</t>
  </si>
  <si>
    <t>ALS</t>
  </si>
  <si>
    <t>Edoxaban</t>
  </si>
  <si>
    <t>Savaysa</t>
  </si>
  <si>
    <t>Efalizumab</t>
  </si>
  <si>
    <t>Raptiva</t>
  </si>
  <si>
    <t>Efavirenz</t>
  </si>
  <si>
    <t>Sustiva, Atripla</t>
  </si>
  <si>
    <t>Efbemalenogratim</t>
  </si>
  <si>
    <t>Ryzneuta</t>
  </si>
  <si>
    <t>Febrile neutropenia</t>
  </si>
  <si>
    <t>Efgartigimod Alfa/Hyalu</t>
  </si>
  <si>
    <t>Vyvgart Hytulo</t>
  </si>
  <si>
    <t>Myasthenia gravis, AchR Ab+</t>
  </si>
  <si>
    <t>Efgartigimod-alfa</t>
  </si>
  <si>
    <t>Vygart</t>
  </si>
  <si>
    <t>Myasthenia gravis AChR pos</t>
  </si>
  <si>
    <t>Eflapegastrim</t>
  </si>
  <si>
    <t>Rolvedon</t>
  </si>
  <si>
    <t>Colony Stimulating Factors</t>
  </si>
  <si>
    <t>Eicosapentaenoate</t>
  </si>
  <si>
    <t>Sea-Omega 50</t>
  </si>
  <si>
    <t>Elacestrant</t>
  </si>
  <si>
    <t>Orserdu</t>
  </si>
  <si>
    <t>Elafibranor</t>
  </si>
  <si>
    <t>Iqirvo</t>
  </si>
  <si>
    <t>Primary biliary cholangitis</t>
  </si>
  <si>
    <t>Elagolix</t>
  </si>
  <si>
    <t>Orilissa</t>
  </si>
  <si>
    <t>Endometriosis</t>
  </si>
  <si>
    <t>Elamipretide HCl</t>
  </si>
  <si>
    <t>Forzinity</t>
  </si>
  <si>
    <t>Barth Syndrome</t>
  </si>
  <si>
    <t>Elbasvir</t>
  </si>
  <si>
    <t>Zepatier</t>
  </si>
  <si>
    <t>Eletriptan</t>
  </si>
  <si>
    <t>Relpax</t>
  </si>
  <si>
    <t>Elexacaftor</t>
  </si>
  <si>
    <t>Trikafta</t>
  </si>
  <si>
    <t>Eliglustat</t>
  </si>
  <si>
    <t>Cerdelga</t>
  </si>
  <si>
    <t>Elinzanetant</t>
  </si>
  <si>
    <t>Lynkuet</t>
  </si>
  <si>
    <t>Elosulfase alfa</t>
  </si>
  <si>
    <t>Vimizim</t>
  </si>
  <si>
    <t>Morquio A, MPS IV1</t>
  </si>
  <si>
    <t>Elotuzimab</t>
  </si>
  <si>
    <t>Emplicib</t>
  </si>
  <si>
    <t>Elranatamab</t>
  </si>
  <si>
    <t>Elrexfio</t>
  </si>
  <si>
    <t>Eltrombopag</t>
  </si>
  <si>
    <t>Promacta</t>
  </si>
  <si>
    <t>Thrombopoietin Receptor Agon</t>
  </si>
  <si>
    <t>Eluxadoline</t>
  </si>
  <si>
    <t>Viberzi</t>
  </si>
  <si>
    <t>Stribild, Genvoya</t>
  </si>
  <si>
    <t>Emapalumab</t>
  </si>
  <si>
    <t>Gamifant</t>
  </si>
  <si>
    <t>Hemophagocytic Lymphohistocytosis</t>
  </si>
  <si>
    <t>Emicizumab</t>
  </si>
  <si>
    <t>Hemlibra</t>
  </si>
  <si>
    <t>Hemophilia A</t>
  </si>
  <si>
    <t>Empagliflozin</t>
  </si>
  <si>
    <t>Jardiance</t>
  </si>
  <si>
    <t>Emtricitabine</t>
  </si>
  <si>
    <t>Truvada</t>
  </si>
  <si>
    <t>Antiviral: HBV/HIV</t>
  </si>
  <si>
    <t>Enalapril</t>
  </si>
  <si>
    <t>Vasotec</t>
  </si>
  <si>
    <t>Enalaprilat</t>
  </si>
  <si>
    <t>Enasidenib</t>
  </si>
  <si>
    <t>IDHIFA</t>
  </si>
  <si>
    <t>Acute myelogenous leukemia</t>
  </si>
  <si>
    <t>Braftovi</t>
  </si>
  <si>
    <t>Energy Drinks</t>
  </si>
  <si>
    <t>Various</t>
  </si>
  <si>
    <t>Energy Boost</t>
  </si>
  <si>
    <t>Enflurane</t>
  </si>
  <si>
    <t>Ethrane</t>
  </si>
  <si>
    <t>Enfortumab Vedotin</t>
  </si>
  <si>
    <t>Padcev</t>
  </si>
  <si>
    <t>Urothelial cancer</t>
  </si>
  <si>
    <t>Enfuvirtide</t>
  </si>
  <si>
    <t>Fuzeon</t>
  </si>
  <si>
    <t>Enobosarm</t>
  </si>
  <si>
    <t>MK-2866</t>
  </si>
  <si>
    <t>Enoxaparin</t>
  </si>
  <si>
    <t>Lovenox</t>
  </si>
  <si>
    <t>Ensartinib</t>
  </si>
  <si>
    <t>Ensacove</t>
  </si>
  <si>
    <t>Ensifentrine</t>
  </si>
  <si>
    <t>Ohtuvayne</t>
  </si>
  <si>
    <t>COPD</t>
  </si>
  <si>
    <t>Entacapone</t>
  </si>
  <si>
    <t>Comtan</t>
  </si>
  <si>
    <t>Entecavir</t>
  </si>
  <si>
    <t>Baraclude</t>
  </si>
  <si>
    <t>Entrectinib</t>
  </si>
  <si>
    <t>Rozlytrek</t>
  </si>
  <si>
    <t>NSCLC, NTRK gene fusion</t>
  </si>
  <si>
    <t>Enzalutamide</t>
  </si>
  <si>
    <t>Xlandi</t>
  </si>
  <si>
    <t>Epcoritamab</t>
  </si>
  <si>
    <t>Epkinly</t>
  </si>
  <si>
    <t>DLCB Lymphoma</t>
  </si>
  <si>
    <t>Ephedra</t>
  </si>
  <si>
    <t>Weight loss</t>
  </si>
  <si>
    <t>Epirubicin</t>
  </si>
  <si>
    <t>Ellence</t>
  </si>
  <si>
    <t>Eplerenone</t>
  </si>
  <si>
    <t>Inspra</t>
  </si>
  <si>
    <t>Eplontersen</t>
  </si>
  <si>
    <t>Wainua</t>
  </si>
  <si>
    <t>Transthyretin amyloidosis</t>
  </si>
  <si>
    <t>Epoetin Alfa</t>
  </si>
  <si>
    <t>Procrit/ Epogen</t>
  </si>
  <si>
    <t>Epoprostenol</t>
  </si>
  <si>
    <t>Fiolan</t>
  </si>
  <si>
    <t>Prostacyclin Analogs</t>
  </si>
  <si>
    <t>Eprosartan</t>
  </si>
  <si>
    <t>Teveten HCT</t>
  </si>
  <si>
    <t>Eptinezumab</t>
  </si>
  <si>
    <t>Vyepti</t>
  </si>
  <si>
    <t>Migraine prevention</t>
  </si>
  <si>
    <t>Eravacycline</t>
  </si>
  <si>
    <t>Xerava</t>
  </si>
  <si>
    <t>Bacterial infections</t>
  </si>
  <si>
    <t>Erdafinitib</t>
  </si>
  <si>
    <t>Balversa</t>
  </si>
  <si>
    <t>Erenumab</t>
  </si>
  <si>
    <t>Aimovig</t>
  </si>
  <si>
    <t>Ergot alkaloids</t>
  </si>
  <si>
    <t>Hydergine</t>
  </si>
  <si>
    <t>Ergotamine</t>
  </si>
  <si>
    <t>Cafergot</t>
  </si>
  <si>
    <t xml:space="preserve">Eribulin </t>
  </si>
  <si>
    <t>Halaven</t>
  </si>
  <si>
    <t>Erlotinib</t>
  </si>
  <si>
    <t>Tarceva</t>
  </si>
  <si>
    <t>Ertapenem</t>
  </si>
  <si>
    <t>Invanz</t>
  </si>
  <si>
    <t>Ertugliflozin</t>
  </si>
  <si>
    <t>Steglatro</t>
  </si>
  <si>
    <t>Erythromycin</t>
  </si>
  <si>
    <t>Theramycin</t>
  </si>
  <si>
    <t>Escallantide</t>
  </si>
  <si>
    <t>Kalbitor</t>
  </si>
  <si>
    <t>Escitalopram</t>
  </si>
  <si>
    <t>Lexapro</t>
  </si>
  <si>
    <t>Esketamine</t>
  </si>
  <si>
    <t>Spravato</t>
  </si>
  <si>
    <t>Depression</t>
  </si>
  <si>
    <t>Eslicarbazepine</t>
  </si>
  <si>
    <t>Aptiom</t>
  </si>
  <si>
    <t>Esmolol</t>
  </si>
  <si>
    <t>Brevibloc</t>
  </si>
  <si>
    <t>Esomeprazole</t>
  </si>
  <si>
    <t>Nexium</t>
  </si>
  <si>
    <t>Omeprazole</t>
  </si>
  <si>
    <t>Estazolam</t>
  </si>
  <si>
    <t>ProSom</t>
  </si>
  <si>
    <t>Estradiol</t>
  </si>
  <si>
    <t>NuvaRing</t>
  </si>
  <si>
    <t>Estrogens and OCs</t>
  </si>
  <si>
    <t>Estramustine</t>
  </si>
  <si>
    <t>Emcyt</t>
  </si>
  <si>
    <t>Alkylating Agents</t>
  </si>
  <si>
    <t>Estriol</t>
  </si>
  <si>
    <t>Ortho-Gynest</t>
  </si>
  <si>
    <t>Prempro</t>
  </si>
  <si>
    <t>Estrogens (BCPs)</t>
  </si>
  <si>
    <t>Estrone</t>
  </si>
  <si>
    <t>Primestrin</t>
  </si>
  <si>
    <t>Estropipate</t>
  </si>
  <si>
    <t>Ogen</t>
  </si>
  <si>
    <t>Eszopiclone</t>
  </si>
  <si>
    <t>Lunesta</t>
  </si>
  <si>
    <t>Etanercept</t>
  </si>
  <si>
    <t>Enbrel</t>
  </si>
  <si>
    <t>Eteplirsen</t>
  </si>
  <si>
    <t>Exondys 51</t>
  </si>
  <si>
    <t>Duchennes</t>
  </si>
  <si>
    <t>Etesevimab</t>
  </si>
  <si>
    <t>LY-CoV016</t>
  </si>
  <si>
    <t>Ethacrynic Acid</t>
  </si>
  <si>
    <t>Edecrin</t>
  </si>
  <si>
    <t>Ethambutol</t>
  </si>
  <si>
    <t>Myambutol</t>
  </si>
  <si>
    <t>Ethinyl Estradiol</t>
  </si>
  <si>
    <t>Loestrin FE</t>
  </si>
  <si>
    <t>Ethionamide</t>
  </si>
  <si>
    <t>Trecator</t>
  </si>
  <si>
    <t>Ethosuximide</t>
  </si>
  <si>
    <t>Emeside</t>
  </si>
  <si>
    <t>Ethynodiol</t>
  </si>
  <si>
    <t>Kelnor</t>
  </si>
  <si>
    <t xml:space="preserve">A </t>
  </si>
  <si>
    <t>Etidronate</t>
  </si>
  <si>
    <t>Didronel</t>
  </si>
  <si>
    <t>Etodolac</t>
  </si>
  <si>
    <t>Ramodar</t>
  </si>
  <si>
    <t>Etonogestrel</t>
  </si>
  <si>
    <t>Etoposide</t>
  </si>
  <si>
    <t>Toposar</t>
  </si>
  <si>
    <t>Etrasimod Arginine</t>
  </si>
  <si>
    <t>Velsipity</t>
  </si>
  <si>
    <t>Ulcerative colitis</t>
  </si>
  <si>
    <t>Etravirine</t>
  </si>
  <si>
    <t>Intelence</t>
  </si>
  <si>
    <t>Etretinate</t>
  </si>
  <si>
    <t>Tegison</t>
  </si>
  <si>
    <t>Etripamil</t>
  </si>
  <si>
    <t>Cardamyst</t>
  </si>
  <si>
    <t>Paroxysmal tachycardia</t>
  </si>
  <si>
    <t>Eugenol (Clove Oil)</t>
  </si>
  <si>
    <t>Toothache</t>
  </si>
  <si>
    <t>Everolimus</t>
  </si>
  <si>
    <t>Zortress</t>
  </si>
  <si>
    <t>Evinacumab</t>
  </si>
  <si>
    <t>Evkeeza</t>
  </si>
  <si>
    <t>Evolocumab</t>
  </si>
  <si>
    <t>Repatha</t>
  </si>
  <si>
    <t>Exemestane</t>
  </si>
  <si>
    <t>Aromasin</t>
  </si>
  <si>
    <t>Exenatide</t>
  </si>
  <si>
    <t>Byetta</t>
  </si>
  <si>
    <t>Ezetimibe</t>
  </si>
  <si>
    <t>Vytorin</t>
  </si>
  <si>
    <t>Ezogabine</t>
  </si>
  <si>
    <t>Potiga</t>
  </si>
  <si>
    <t>Famciclovir</t>
  </si>
  <si>
    <t>Famvir</t>
  </si>
  <si>
    <t>Famotidine</t>
  </si>
  <si>
    <t>Pepcid</t>
  </si>
  <si>
    <t>Faricimab</t>
  </si>
  <si>
    <t>Vabysmo</t>
  </si>
  <si>
    <t>Macular Degeneration</t>
  </si>
  <si>
    <t>Febuxostat</t>
  </si>
  <si>
    <t>Uloric</t>
  </si>
  <si>
    <t>Fedratinib</t>
  </si>
  <si>
    <t>Inrebic</t>
  </si>
  <si>
    <t>P Vero, myelofibrosis</t>
  </si>
  <si>
    <t>Felbamate</t>
  </si>
  <si>
    <t>Felbatol</t>
  </si>
  <si>
    <t>Felodipine</t>
  </si>
  <si>
    <t>Plendil</t>
  </si>
  <si>
    <t>Fenofibrate</t>
  </si>
  <si>
    <t>Tricor</t>
  </si>
  <si>
    <t>Fenoprofen</t>
  </si>
  <si>
    <t>Nalfon</t>
  </si>
  <si>
    <t>Duragesic</t>
  </si>
  <si>
    <t>Fenugreek</t>
  </si>
  <si>
    <t>Ferrous Sulfate</t>
  </si>
  <si>
    <t>Albafort</t>
  </si>
  <si>
    <t>Iron</t>
  </si>
  <si>
    <t>Fesoterodine</t>
  </si>
  <si>
    <t>Toviaz</t>
  </si>
  <si>
    <t>Fexinidazole</t>
  </si>
  <si>
    <t>Trypanosomiasis</t>
  </si>
  <si>
    <t>Fexofenadine</t>
  </si>
  <si>
    <t>Allegra</t>
  </si>
  <si>
    <t>Fezolinetant</t>
  </si>
  <si>
    <t>Veozah</t>
  </si>
  <si>
    <t>VMS Menopause</t>
  </si>
  <si>
    <t>Fidaxomicin</t>
  </si>
  <si>
    <t>Dificid</t>
  </si>
  <si>
    <t>Filgrastim</t>
  </si>
  <si>
    <t>Neupogen</t>
  </si>
  <si>
    <t>Neutropenia</t>
  </si>
  <si>
    <t>Finasteride</t>
  </si>
  <si>
    <t>Propecia</t>
  </si>
  <si>
    <t>Finerenone</t>
  </si>
  <si>
    <t>Kerendia</t>
  </si>
  <si>
    <t>Chronic kidney disease</t>
  </si>
  <si>
    <t>Fingolimod</t>
  </si>
  <si>
    <t>Gilenya</t>
  </si>
  <si>
    <t>Fish oil</t>
  </si>
  <si>
    <t>Fish oil triglycerides</t>
  </si>
  <si>
    <t>Omegaven</t>
  </si>
  <si>
    <t>Parenteral Nutrition Liver Disease</t>
  </si>
  <si>
    <t>Fitusiran</t>
  </si>
  <si>
    <t>Qfitlia</t>
  </si>
  <si>
    <t>Flavocoxid</t>
  </si>
  <si>
    <t>Limbrel</t>
  </si>
  <si>
    <t>Flavoxate</t>
  </si>
  <si>
    <t>Urispas</t>
  </si>
  <si>
    <t>Flecainide</t>
  </si>
  <si>
    <t>Tambocor</t>
  </si>
  <si>
    <t>Flibanserin</t>
  </si>
  <si>
    <t>Addyi</t>
  </si>
  <si>
    <t>Hypoactive sexual desire</t>
  </si>
  <si>
    <t>Floxuridine</t>
  </si>
  <si>
    <t xml:space="preserve">FUDR </t>
  </si>
  <si>
    <t>Fluconazole</t>
  </si>
  <si>
    <t>Diflucan</t>
  </si>
  <si>
    <t>Flucoxacillin</t>
  </si>
  <si>
    <t>Floxapen</t>
  </si>
  <si>
    <t>Flucytosine</t>
  </si>
  <si>
    <t>Ancobon</t>
  </si>
  <si>
    <t>Fludarabine</t>
  </si>
  <si>
    <t>Fludara</t>
  </si>
  <si>
    <t>Fludrocortisone</t>
  </si>
  <si>
    <t>Florinef</t>
  </si>
  <si>
    <t>Fluoride</t>
  </si>
  <si>
    <t>Flouride</t>
  </si>
  <si>
    <t>Fluorouracil</t>
  </si>
  <si>
    <t>5FU, Carac</t>
  </si>
  <si>
    <t>Fluoxetine</t>
  </si>
  <si>
    <t>Prozac</t>
  </si>
  <si>
    <t>Fluoxymesterone</t>
  </si>
  <si>
    <t>Androxy</t>
  </si>
  <si>
    <t>Fluphenazine</t>
  </si>
  <si>
    <t>Prolixin</t>
  </si>
  <si>
    <t>Flurazepam</t>
  </si>
  <si>
    <t>Dalmane</t>
  </si>
  <si>
    <t>Flurbiprofen</t>
  </si>
  <si>
    <t>Ansaid</t>
  </si>
  <si>
    <t>Flutamide</t>
  </si>
  <si>
    <t>Chimax</t>
  </si>
  <si>
    <t>Fluvastatin</t>
  </si>
  <si>
    <t>Lescol</t>
  </si>
  <si>
    <t>Fluvoxamine</t>
  </si>
  <si>
    <t>Luvox</t>
  </si>
  <si>
    <t>Folic acid</t>
  </si>
  <si>
    <t>Allanfol</t>
  </si>
  <si>
    <t>Follicle Stimulating Hormone</t>
  </si>
  <si>
    <t>Follistim</t>
  </si>
  <si>
    <t>Fomivirsen</t>
  </si>
  <si>
    <t>Vitravene</t>
  </si>
  <si>
    <t>Fondaparinux</t>
  </si>
  <si>
    <t>Arixtra</t>
  </si>
  <si>
    <t>Formoterol</t>
  </si>
  <si>
    <t xml:space="preserve">Symbicort </t>
  </si>
  <si>
    <t>Lexiva</t>
  </si>
  <si>
    <t xml:space="preserve">Fosaprepitant </t>
  </si>
  <si>
    <t xml:space="preserve">Emend </t>
  </si>
  <si>
    <t>Foscarnet</t>
  </si>
  <si>
    <t>Foscavir</t>
  </si>
  <si>
    <t>Fosfomycin</t>
  </si>
  <si>
    <t>Monurol</t>
  </si>
  <si>
    <t>Fosinopril</t>
  </si>
  <si>
    <t>Monopril</t>
  </si>
  <si>
    <t>Fosnetupitant</t>
  </si>
  <si>
    <t>Akynzeo</t>
  </si>
  <si>
    <t>Nausea  &amp; Vomiting</t>
  </si>
  <si>
    <t>Fosphenytoin</t>
  </si>
  <si>
    <t>Cerebyx</t>
  </si>
  <si>
    <t>Fospropofol</t>
  </si>
  <si>
    <t>Lusedra</t>
  </si>
  <si>
    <t>Propofol</t>
  </si>
  <si>
    <t>Fostamatinib</t>
  </si>
  <si>
    <t>Tavalisse</t>
  </si>
  <si>
    <t>Fostemsavir</t>
  </si>
  <si>
    <t>Rukobia</t>
  </si>
  <si>
    <t>HIV</t>
  </si>
  <si>
    <t>Fremanezumab</t>
  </si>
  <si>
    <t>Ajovy</t>
  </si>
  <si>
    <t>Frovatriptan</t>
  </si>
  <si>
    <t>Frova</t>
  </si>
  <si>
    <t>Fruquintinib</t>
  </si>
  <si>
    <t>Fruzaqla</t>
  </si>
  <si>
    <t>Colon cancer, metastatic</t>
  </si>
  <si>
    <t>Fulvestrant</t>
  </si>
  <si>
    <t>Faslodex</t>
  </si>
  <si>
    <t>Furosemide</t>
  </si>
  <si>
    <t>Lasix</t>
  </si>
  <si>
    <t>Futibatinib</t>
  </si>
  <si>
    <t>Lytgobi</t>
  </si>
  <si>
    <t>Cholangiocarcinoma</t>
  </si>
  <si>
    <t>Gabapentin</t>
  </si>
  <si>
    <t>Neurontin</t>
  </si>
  <si>
    <t>Gabapentin Enacarbil</t>
  </si>
  <si>
    <t>Horizant</t>
  </si>
  <si>
    <t>Galantamine</t>
  </si>
  <si>
    <t>Razadyne</t>
  </si>
  <si>
    <t>Galcanezumab</t>
  </si>
  <si>
    <t>Emgality</t>
  </si>
  <si>
    <t>Galsulfase</t>
  </si>
  <si>
    <t>Naglazyme</t>
  </si>
  <si>
    <t>Maroteaux-Lamy, MPS VI</t>
  </si>
  <si>
    <t>Ganaxolone</t>
  </si>
  <si>
    <t>Ztalmy</t>
  </si>
  <si>
    <t>Seizures, CDKL5 deficiency</t>
  </si>
  <si>
    <t>Ganciclovir</t>
  </si>
  <si>
    <t>Zirgan</t>
  </si>
  <si>
    <t>Garadacimab</t>
  </si>
  <si>
    <t>Andembry</t>
  </si>
  <si>
    <t>HAE prevention</t>
  </si>
  <si>
    <t>Garcinia</t>
  </si>
  <si>
    <t>Gefitinib</t>
  </si>
  <si>
    <t>Iressa</t>
  </si>
  <si>
    <t>Gemcitabine</t>
  </si>
  <si>
    <t>Gemzar</t>
  </si>
  <si>
    <t>Gemfibrozil</t>
  </si>
  <si>
    <t>Lopid</t>
  </si>
  <si>
    <t>Gemifloxacin</t>
  </si>
  <si>
    <t>Factive</t>
  </si>
  <si>
    <t>Gemtuzumab ozogamicin</t>
  </si>
  <si>
    <t>Mylotarg</t>
  </si>
  <si>
    <t xml:space="preserve">Gentamicin </t>
  </si>
  <si>
    <t>Garamycin</t>
  </si>
  <si>
    <t>Gepirone</t>
  </si>
  <si>
    <t>Exxua</t>
  </si>
  <si>
    <t>Major depression</t>
  </si>
  <si>
    <t>Gepotidacn</t>
  </si>
  <si>
    <t>Blujepa</t>
  </si>
  <si>
    <t>Urinary tract bacterial infection</t>
  </si>
  <si>
    <t>Germander</t>
  </si>
  <si>
    <t>Giapreza</t>
  </si>
  <si>
    <t>Angiotensin II</t>
  </si>
  <si>
    <t>Hypotension</t>
  </si>
  <si>
    <t>Gilteritinib</t>
  </si>
  <si>
    <t>Xospata</t>
  </si>
  <si>
    <t>AML</t>
  </si>
  <si>
    <t>Ginger</t>
  </si>
  <si>
    <t>Zingiber officinale</t>
  </si>
  <si>
    <t>GI upset</t>
  </si>
  <si>
    <t>Gingko</t>
  </si>
  <si>
    <t xml:space="preserve">Ginseng </t>
  </si>
  <si>
    <t>Ginsana</t>
  </si>
  <si>
    <t>Givinostat</t>
  </si>
  <si>
    <t>Duvyzat</t>
  </si>
  <si>
    <t>Duchene's muscular dystrophy</t>
  </si>
  <si>
    <t>Givosiran</t>
  </si>
  <si>
    <t>Givlaari</t>
  </si>
  <si>
    <t>Porphyria</t>
  </si>
  <si>
    <t>Glasdegib</t>
  </si>
  <si>
    <t>Daurismo</t>
  </si>
  <si>
    <t>Glatiramer</t>
  </si>
  <si>
    <t>Copaxone</t>
  </si>
  <si>
    <t>Glecaprevir</t>
  </si>
  <si>
    <t>Mavyret</t>
  </si>
  <si>
    <t>Gliclazide</t>
  </si>
  <si>
    <t>Diamicron</t>
  </si>
  <si>
    <t>Glimepiride</t>
  </si>
  <si>
    <t>Amaryl</t>
  </si>
  <si>
    <t>Sulfonylureas, Second Generation</t>
  </si>
  <si>
    <t>Glipizide</t>
  </si>
  <si>
    <t>Minidiab</t>
  </si>
  <si>
    <t>Glofitamab</t>
  </si>
  <si>
    <t>Columvi</t>
  </si>
  <si>
    <t>Large B cell lymphoma</t>
  </si>
  <si>
    <t>Glucagon</t>
  </si>
  <si>
    <t>GlucaGen</t>
  </si>
  <si>
    <t>Diagnostic aid</t>
  </si>
  <si>
    <t>Glucocerebrosidase</t>
  </si>
  <si>
    <t>Cosamin DS</t>
  </si>
  <si>
    <t xml:space="preserve">Arthritis </t>
  </si>
  <si>
    <t>Glyburide</t>
  </si>
  <si>
    <t>Semi-Daonil</t>
  </si>
  <si>
    <t>Glycopyrrolate</t>
  </si>
  <si>
    <t>Robinul</t>
  </si>
  <si>
    <t>Anesthesia induction</t>
  </si>
  <si>
    <t>Golimumab</t>
  </si>
  <si>
    <t>Simponi</t>
  </si>
  <si>
    <t>Golodirsen</t>
  </si>
  <si>
    <t>Vyondys 53</t>
  </si>
  <si>
    <t>Goserelin</t>
  </si>
  <si>
    <t>Zoladex</t>
  </si>
  <si>
    <t>Granisetron</t>
  </si>
  <si>
    <t>Sancuso</t>
  </si>
  <si>
    <t>Serotonin 5-HT3 Rcpt Antagonists</t>
  </si>
  <si>
    <t>Grape seed</t>
  </si>
  <si>
    <t>Grazoprevir</t>
  </si>
  <si>
    <t>Green tea</t>
  </si>
  <si>
    <t>Griseofulvin</t>
  </si>
  <si>
    <t>Fulvicin P/G</t>
  </si>
  <si>
    <t>Guanabenz</t>
  </si>
  <si>
    <t>Wytensin</t>
  </si>
  <si>
    <t>Guanfacine</t>
  </si>
  <si>
    <t>Tenex</t>
  </si>
  <si>
    <t>Guarana</t>
  </si>
  <si>
    <t>Guselkumab</t>
  </si>
  <si>
    <t>Tremfya</t>
  </si>
  <si>
    <t xml:space="preserve">Gymnema </t>
  </si>
  <si>
    <t>Gymnema silvestre</t>
  </si>
  <si>
    <t>Gymnema</t>
  </si>
  <si>
    <t>Haloperidol</t>
  </si>
  <si>
    <t>Haldol</t>
  </si>
  <si>
    <t>Halothane</t>
  </si>
  <si>
    <t>Hawthorn</t>
  </si>
  <si>
    <t>BTB Hoof</t>
  </si>
  <si>
    <t>Heparin</t>
  </si>
  <si>
    <t>Hemochron</t>
  </si>
  <si>
    <t>Herbalife</t>
  </si>
  <si>
    <t>Heroin</t>
  </si>
  <si>
    <t>Histrelin</t>
  </si>
  <si>
    <t>Vantas/Supprelin</t>
  </si>
  <si>
    <t>Homatropine</t>
  </si>
  <si>
    <t>Hoodia</t>
  </si>
  <si>
    <t>Hops</t>
  </si>
  <si>
    <t>Anxiety</t>
  </si>
  <si>
    <t>Horny Goat Weed</t>
  </si>
  <si>
    <t>Sexual dysfunction</t>
  </si>
  <si>
    <t xml:space="preserve">Horse chestnut </t>
  </si>
  <si>
    <t>Venastat</t>
  </si>
  <si>
    <t>Venous stasis</t>
  </si>
  <si>
    <t>Horsetail</t>
  </si>
  <si>
    <t>Bladder and Kidney diseae</t>
  </si>
  <si>
    <t>Hydralazine</t>
  </si>
  <si>
    <t>Apresoline</t>
  </si>
  <si>
    <t>Hydrochlorothiazide</t>
  </si>
  <si>
    <t>Esidrix</t>
  </si>
  <si>
    <t>Hydrocodone</t>
  </si>
  <si>
    <t>Hycodan, Vicodin</t>
  </si>
  <si>
    <t>Hydrocortisone</t>
  </si>
  <si>
    <t>Acticort 100</t>
  </si>
  <si>
    <t>Hydroflumethiazide</t>
  </si>
  <si>
    <t>Diucardin</t>
  </si>
  <si>
    <t>Hydromorphone</t>
  </si>
  <si>
    <t>Dilaudid</t>
  </si>
  <si>
    <t>Hydroxychloroquine</t>
  </si>
  <si>
    <t>Plaquenil</t>
  </si>
  <si>
    <t>Hydroxycut</t>
  </si>
  <si>
    <t>Hydroxyprogesterone</t>
  </si>
  <si>
    <t>Prodrox</t>
  </si>
  <si>
    <t>Hydroxyurea</t>
  </si>
  <si>
    <t>Mylocel</t>
  </si>
  <si>
    <t>Leukemia, Sickle Cell D</t>
  </si>
  <si>
    <t>Hydroxyzine</t>
  </si>
  <si>
    <t>Vistazine</t>
  </si>
  <si>
    <t>Hyoscyamine</t>
  </si>
  <si>
    <t>Anaspaz</t>
  </si>
  <si>
    <t>Antispasmotic</t>
  </si>
  <si>
    <t>Hyssop</t>
  </si>
  <si>
    <t>Circulation</t>
  </si>
  <si>
    <t>Ibalizumab</t>
  </si>
  <si>
    <t>Trogarzo</t>
  </si>
  <si>
    <t>Ibandronate</t>
  </si>
  <si>
    <t>Boniva</t>
  </si>
  <si>
    <t>Ibrexafungerp</t>
  </si>
  <si>
    <t>Brexafemme</t>
  </si>
  <si>
    <t>Vulvovaginal candiasis</t>
  </si>
  <si>
    <t>Ibrutinib</t>
  </si>
  <si>
    <t>Imbruvica</t>
  </si>
  <si>
    <t>Ibuprofen</t>
  </si>
  <si>
    <t>Advil</t>
  </si>
  <si>
    <t>Ibutamoren</t>
  </si>
  <si>
    <t>MK-677</t>
  </si>
  <si>
    <t>Icatibant</t>
  </si>
  <si>
    <t>Firazyr</t>
  </si>
  <si>
    <t>Idarubicin</t>
  </si>
  <si>
    <t>Idamycin</t>
  </si>
  <si>
    <t>Idelalisib</t>
  </si>
  <si>
    <t>Zydelig</t>
  </si>
  <si>
    <t>Leukemia, lymphoma</t>
  </si>
  <si>
    <t>Idursulfase</t>
  </si>
  <si>
    <t>Elaprase</t>
  </si>
  <si>
    <t>Hunter syndrome, MPS</t>
  </si>
  <si>
    <t>Ifosfamide</t>
  </si>
  <si>
    <t>Ifex</t>
  </si>
  <si>
    <t>Iloperidone</t>
  </si>
  <si>
    <t>Fanapt</t>
  </si>
  <si>
    <t>Iloprost</t>
  </si>
  <si>
    <t>Ventavis</t>
  </si>
  <si>
    <t>Imatinib</t>
  </si>
  <si>
    <t>Gleevec</t>
  </si>
  <si>
    <t>Imdevimab</t>
  </si>
  <si>
    <t>Imetelstat</t>
  </si>
  <si>
    <t>Rytelo</t>
  </si>
  <si>
    <t>Hematology</t>
  </si>
  <si>
    <t>Myelodysplastic Syndrome</t>
  </si>
  <si>
    <t>Imiglucerase</t>
  </si>
  <si>
    <t>Cerezyme</t>
  </si>
  <si>
    <t>Imipenem</t>
  </si>
  <si>
    <t>Primaxin</t>
  </si>
  <si>
    <t>Imipramine</t>
  </si>
  <si>
    <t>Tofranil</t>
  </si>
  <si>
    <t>Imlunestrant</t>
  </si>
  <si>
    <t>Inluriyo</t>
  </si>
  <si>
    <t>Inavolisib</t>
  </si>
  <si>
    <t>Itovebi</t>
  </si>
  <si>
    <t>Inclisiran</t>
  </si>
  <si>
    <t>Leqvio</t>
  </si>
  <si>
    <t>Cholesterol lowering HoFH</t>
  </si>
  <si>
    <t>Indapamide</t>
  </si>
  <si>
    <t>Lozol</t>
  </si>
  <si>
    <t>Indinavir</t>
  </si>
  <si>
    <t>Crixivan</t>
  </si>
  <si>
    <t>Indomethacin</t>
  </si>
  <si>
    <t>Indocin</t>
  </si>
  <si>
    <t>Inebilizumab</t>
  </si>
  <si>
    <t>Uplizna</t>
  </si>
  <si>
    <t>Neuromyelitis optica spectrum disorder</t>
  </si>
  <si>
    <t>Infigratinib</t>
  </si>
  <si>
    <t>Truseltiq</t>
  </si>
  <si>
    <t>NSCLC (Kras G12)</t>
  </si>
  <si>
    <t>Infliximab</t>
  </si>
  <si>
    <t>Remicade</t>
  </si>
  <si>
    <t>Inotuzumab Ozogamicin</t>
  </si>
  <si>
    <t>Besponsa</t>
  </si>
  <si>
    <t>Bell-ALL</t>
  </si>
  <si>
    <t>Insulin</t>
  </si>
  <si>
    <t xml:space="preserve">Hypurin </t>
  </si>
  <si>
    <t>Interferon alfa</t>
  </si>
  <si>
    <t>Roferon-A</t>
  </si>
  <si>
    <t>Alpha Interferon</t>
  </si>
  <si>
    <t>Antiviral: HBV/HCV</t>
  </si>
  <si>
    <t>Interferon beta</t>
  </si>
  <si>
    <t>Betaferon</t>
  </si>
  <si>
    <t>Beta Interferon</t>
  </si>
  <si>
    <t>Interferon gamma</t>
  </si>
  <si>
    <t>Actimmune</t>
  </si>
  <si>
    <t>CGD, osteopetrosis</t>
  </si>
  <si>
    <t>Iodine</t>
  </si>
  <si>
    <t>Trace element</t>
  </si>
  <si>
    <t>Ipilimumab</t>
  </si>
  <si>
    <t>Yervoy</t>
  </si>
  <si>
    <t>Ipratropium</t>
  </si>
  <si>
    <t>Combivent</t>
  </si>
  <si>
    <t>Iproniazid</t>
  </si>
  <si>
    <t>Marsilid</t>
  </si>
  <si>
    <t>Iptacopan</t>
  </si>
  <si>
    <t>Fabhalta</t>
  </si>
  <si>
    <t>Irbesartan</t>
  </si>
  <si>
    <t>Avapro</t>
  </si>
  <si>
    <t>Irinotecan</t>
  </si>
  <si>
    <t>Camptosar</t>
  </si>
  <si>
    <t>Dexferrum</t>
  </si>
  <si>
    <t>Isatuximab</t>
  </si>
  <si>
    <t>Sardia</t>
  </si>
  <si>
    <t>Isavuconazonium</t>
  </si>
  <si>
    <t>Cresemba</t>
  </si>
  <si>
    <t>Isocarboxazid</t>
  </si>
  <si>
    <t>Marplan</t>
  </si>
  <si>
    <t>Isoflurane</t>
  </si>
  <si>
    <t>Attane</t>
  </si>
  <si>
    <t>Isometheptene</t>
  </si>
  <si>
    <t>Prodrin</t>
  </si>
  <si>
    <t>Isoniazid</t>
  </si>
  <si>
    <t>Tubizid</t>
  </si>
  <si>
    <t>Isosorbide dinitrate</t>
  </si>
  <si>
    <t>Isordil</t>
  </si>
  <si>
    <t>Organic Nitrates</t>
  </si>
  <si>
    <t>Angina</t>
  </si>
  <si>
    <t>Isosorbide mononitrate</t>
  </si>
  <si>
    <t>ISMO, Imdur</t>
  </si>
  <si>
    <t>Isotretinoin</t>
  </si>
  <si>
    <t>Accutane</t>
  </si>
  <si>
    <t>Acne</t>
  </si>
  <si>
    <t>Isradipine</t>
  </si>
  <si>
    <t>Dynacirc</t>
  </si>
  <si>
    <t>Istradefylline</t>
  </si>
  <si>
    <t>Nourianz</t>
  </si>
  <si>
    <t>Itraconazole</t>
  </si>
  <si>
    <t>Sporanox</t>
  </si>
  <si>
    <t>Ivabradine</t>
  </si>
  <si>
    <t>Corlanor</t>
  </si>
  <si>
    <t>Ivacaftor</t>
  </si>
  <si>
    <t>Kalydeco, Trikafta</t>
  </si>
  <si>
    <t>Cystic Fibrosis</t>
  </si>
  <si>
    <t>Ivermectin</t>
  </si>
  <si>
    <t>Zimecterin</t>
  </si>
  <si>
    <t>Ivosidenib</t>
  </si>
  <si>
    <t>Tibsovo</t>
  </si>
  <si>
    <t>Acute Myelogenous Leukemia</t>
  </si>
  <si>
    <t>Ixabepilone</t>
  </si>
  <si>
    <t>Ixempra</t>
  </si>
  <si>
    <t>Ixazomib</t>
  </si>
  <si>
    <t>Ninlaro</t>
  </si>
  <si>
    <t>Ixekizumab</t>
  </si>
  <si>
    <t>Taltz</t>
  </si>
  <si>
    <t>Jin Bu Huan</t>
  </si>
  <si>
    <t>Sedative/hypnotic</t>
  </si>
  <si>
    <t>Kava</t>
  </si>
  <si>
    <t>Kava Kava</t>
  </si>
  <si>
    <t>Kelp</t>
  </si>
  <si>
    <t>Ketamine</t>
  </si>
  <si>
    <t>Ketaflo</t>
  </si>
  <si>
    <t>Ketoconazole</t>
  </si>
  <si>
    <t>Nizoral</t>
  </si>
  <si>
    <t>Ketoprofen</t>
  </si>
  <si>
    <t>Powergel</t>
  </si>
  <si>
    <t>Ketorolac</t>
  </si>
  <si>
    <t>Acular</t>
  </si>
  <si>
    <t>Khat</t>
  </si>
  <si>
    <t>Kombucha Tea</t>
  </si>
  <si>
    <t>Usnic Acid</t>
  </si>
  <si>
    <t>Kratom</t>
  </si>
  <si>
    <t>Depression, withdrawal</t>
  </si>
  <si>
    <t>Labetalol</t>
  </si>
  <si>
    <t>Lacosamide</t>
  </si>
  <si>
    <t>Vimpat</t>
  </si>
  <si>
    <t>Lamivudine</t>
  </si>
  <si>
    <t>Epivir</t>
  </si>
  <si>
    <t>Lamotrigine</t>
  </si>
  <si>
    <t>Lamictal</t>
  </si>
  <si>
    <t>Lanadelumab</t>
  </si>
  <si>
    <t>Takhzyro</t>
  </si>
  <si>
    <t>Hereditary Angioneurotic Ed</t>
  </si>
  <si>
    <t>Landiolol</t>
  </si>
  <si>
    <t>Rapiblyk</t>
  </si>
  <si>
    <t>Atrial Fibrillation/Flutter/Tachy</t>
  </si>
  <si>
    <t>Lanreotide</t>
  </si>
  <si>
    <t>Somatuline</t>
  </si>
  <si>
    <t>Prevacid</t>
  </si>
  <si>
    <t>Lapatinib</t>
  </si>
  <si>
    <t>Tykerb</t>
  </si>
  <si>
    <t>Laronidase</t>
  </si>
  <si>
    <t>Aldurazyme</t>
  </si>
  <si>
    <t>Hurler syndrome MPS</t>
  </si>
  <si>
    <t>Larotrectinib</t>
  </si>
  <si>
    <t>Vitrakvi</t>
  </si>
  <si>
    <t>NTRK cancer</t>
  </si>
  <si>
    <t>Lasmiditan</t>
  </si>
  <si>
    <t>Reyvow</t>
  </si>
  <si>
    <t>Lavender</t>
  </si>
  <si>
    <t>Lazertinib mesylate</t>
  </si>
  <si>
    <t>Lazcluze</t>
  </si>
  <si>
    <t>NSCLC/EGRr exeon del/mt</t>
  </si>
  <si>
    <t>Lead</t>
  </si>
  <si>
    <t>Lebrikizumab</t>
  </si>
  <si>
    <t>Ebglyss</t>
  </si>
  <si>
    <t>Lecanemab</t>
  </si>
  <si>
    <t>Legembi</t>
  </si>
  <si>
    <t>Ledipasvir</t>
  </si>
  <si>
    <t>Harvoni</t>
  </si>
  <si>
    <t>Sofosbuvir</t>
  </si>
  <si>
    <t>Lefamulin</t>
  </si>
  <si>
    <t>Xenleta</t>
  </si>
  <si>
    <t>Pneumonia</t>
  </si>
  <si>
    <t>Leflunomide</t>
  </si>
  <si>
    <t>Arava</t>
  </si>
  <si>
    <t>Lemborexant</t>
  </si>
  <si>
    <t>Dayvigo</t>
  </si>
  <si>
    <t>Lemon balm</t>
  </si>
  <si>
    <t>Mellisa officinalis</t>
  </si>
  <si>
    <t>Lenacapavir</t>
  </si>
  <si>
    <t>Sunlenca</t>
  </si>
  <si>
    <t>Anti-viral: HIV</t>
  </si>
  <si>
    <t>Lenalidomide</t>
  </si>
  <si>
    <t>Revlimid</t>
  </si>
  <si>
    <t>Leniolisib</t>
  </si>
  <si>
    <t>Joenja</t>
  </si>
  <si>
    <t>APDS syndrome</t>
  </si>
  <si>
    <t>Lenvatinib</t>
  </si>
  <si>
    <t>Lenvima</t>
  </si>
  <si>
    <t>Lepirudin</t>
  </si>
  <si>
    <t>Refludan</t>
  </si>
  <si>
    <t>Lerodalchibep</t>
  </si>
  <si>
    <t>Lerochol</t>
  </si>
  <si>
    <t>Lesinurad</t>
  </si>
  <si>
    <t>Zurampic</t>
  </si>
  <si>
    <t>Letermovir</t>
  </si>
  <si>
    <t>Prevymis</t>
  </si>
  <si>
    <t>CMV</t>
  </si>
  <si>
    <t>Letrozole</t>
  </si>
  <si>
    <t>Femara</t>
  </si>
  <si>
    <t>Leucovorin</t>
  </si>
  <si>
    <t>Rescufolin</t>
  </si>
  <si>
    <t>Folic Acid</t>
  </si>
  <si>
    <t>Leuprolide</t>
  </si>
  <si>
    <t>Eligard</t>
  </si>
  <si>
    <t>Levacetylleucine</t>
  </si>
  <si>
    <t>Aqneursa</t>
  </si>
  <si>
    <t>Levamisole</t>
  </si>
  <si>
    <t>Ergamisol</t>
  </si>
  <si>
    <t>Levetiracetam</t>
  </si>
  <si>
    <t>Keppra</t>
  </si>
  <si>
    <t>Levocetirizine</t>
  </si>
  <si>
    <t>Xyzal</t>
  </si>
  <si>
    <t>Atamet</t>
  </si>
  <si>
    <t>Levofloxacin</t>
  </si>
  <si>
    <t>Levaquin</t>
  </si>
  <si>
    <t>Levomilnacipran</t>
  </si>
  <si>
    <t>Fetzima</t>
  </si>
  <si>
    <t>Milnacipran</t>
  </si>
  <si>
    <t>Levonorgestrel</t>
  </si>
  <si>
    <t>Plan B</t>
  </si>
  <si>
    <t>Emergency Contracept</t>
  </si>
  <si>
    <t>Levorphanol</t>
  </si>
  <si>
    <t>Dromoran</t>
  </si>
  <si>
    <t>Levothyroxine</t>
  </si>
  <si>
    <t>Synthyroid</t>
  </si>
  <si>
    <t>&lt;1950</t>
  </si>
  <si>
    <t>Hypothyroidism</t>
  </si>
  <si>
    <t>L-Glutamine</t>
  </si>
  <si>
    <t>Endari</t>
  </si>
  <si>
    <t>Sickle cell disease</t>
  </si>
  <si>
    <t>Licorice</t>
  </si>
  <si>
    <t>Lidocaine</t>
  </si>
  <si>
    <t>Xylocaine</t>
  </si>
  <si>
    <t>Ligandrol</t>
  </si>
  <si>
    <t>LGD-4033</t>
  </si>
  <si>
    <t>Linaclotide</t>
  </si>
  <si>
    <t>Linzess</t>
  </si>
  <si>
    <t>Linagliptin</t>
  </si>
  <si>
    <t>Tradjenta</t>
  </si>
  <si>
    <t>Lincomycin</t>
  </si>
  <si>
    <t>Lincocin</t>
  </si>
  <si>
    <t>Linezolid</t>
  </si>
  <si>
    <t>Zyvox</t>
  </si>
  <si>
    <t>Lingzhi</t>
  </si>
  <si>
    <t>Lingzhi ganoderma</t>
  </si>
  <si>
    <t>HDS/Herbal Product</t>
  </si>
  <si>
    <t>Longevity</t>
  </si>
  <si>
    <t>Linvoseltamab</t>
  </si>
  <si>
    <t>Lynozfic</t>
  </si>
  <si>
    <t>Lion's mane</t>
  </si>
  <si>
    <t>Hericium erinaceus</t>
  </si>
  <si>
    <t>Lion's Mane</t>
  </si>
  <si>
    <t>Improved cognition</t>
  </si>
  <si>
    <t>Liothyronine</t>
  </si>
  <si>
    <t>Cytomel</t>
  </si>
  <si>
    <t>Liraglutide</t>
  </si>
  <si>
    <t>Victoza</t>
  </si>
  <si>
    <t>Lisdexamfetamine</t>
  </si>
  <si>
    <t>Vyvanse</t>
  </si>
  <si>
    <t>Lisinopril</t>
  </si>
  <si>
    <t>Zestril</t>
  </si>
  <si>
    <t xml:space="preserve">Lithium </t>
  </si>
  <si>
    <t>Lithotabs</t>
  </si>
  <si>
    <t>Mood stablizer</t>
  </si>
  <si>
    <t>Lixisenatide</t>
  </si>
  <si>
    <t>Adlyxin</t>
  </si>
  <si>
    <t>Lofexidine</t>
  </si>
  <si>
    <t>Lucemyra</t>
  </si>
  <si>
    <t>Substance abuse</t>
  </si>
  <si>
    <t>Opioid withdrawal</t>
  </si>
  <si>
    <t>Lomitapide</t>
  </si>
  <si>
    <t>Juxtapid</t>
  </si>
  <si>
    <t>Lomustine</t>
  </si>
  <si>
    <t>CeeNU</t>
  </si>
  <si>
    <t>Lonafarnib</t>
  </si>
  <si>
    <t>Zokinvy</t>
  </si>
  <si>
    <t>Progeria: HGPS</t>
  </si>
  <si>
    <t>Lonapegsomatrophin</t>
  </si>
  <si>
    <t>Skytrafa</t>
  </si>
  <si>
    <t>Growth failure (low GH)</t>
  </si>
  <si>
    <t>Loncastuximab-Tesirine</t>
  </si>
  <si>
    <t>Zynlonta</t>
  </si>
  <si>
    <t>Loperamide</t>
  </si>
  <si>
    <t xml:space="preserve">Pepto </t>
  </si>
  <si>
    <t>Lopinavir</t>
  </si>
  <si>
    <t xml:space="preserve">Kaletra </t>
  </si>
  <si>
    <t>Alavert</t>
  </si>
  <si>
    <t>Lorazepam</t>
  </si>
  <si>
    <t>Ativan</t>
  </si>
  <si>
    <t>Lorcaserin</t>
  </si>
  <si>
    <t>Belviq</t>
  </si>
  <si>
    <t>Lorlatinib</t>
  </si>
  <si>
    <t>Lorbrena</t>
  </si>
  <si>
    <t>Losartan</t>
  </si>
  <si>
    <t>Cozaar</t>
  </si>
  <si>
    <t>Lovastatin</t>
  </si>
  <si>
    <t>Mevacor</t>
  </si>
  <si>
    <t>Loxapine</t>
  </si>
  <si>
    <t>Loxapac</t>
  </si>
  <si>
    <t>Lubiprostone</t>
  </si>
  <si>
    <t>Amitiza</t>
  </si>
  <si>
    <t>Lumacaftor</t>
  </si>
  <si>
    <t>Orkambi</t>
  </si>
  <si>
    <t>Lumasiran</t>
  </si>
  <si>
    <t>Oxlumo</t>
  </si>
  <si>
    <t>Primary hyperoxaluria</t>
  </si>
  <si>
    <t>Lumateperone</t>
  </si>
  <si>
    <t>Caplyta</t>
  </si>
  <si>
    <t>Psychosis, Dementia</t>
  </si>
  <si>
    <t>Lumefantrine</t>
  </si>
  <si>
    <t>Arteminisinin</t>
  </si>
  <si>
    <t>Lurasidone</t>
  </si>
  <si>
    <t>Latuda</t>
  </si>
  <si>
    <t>Lurbinectedin</t>
  </si>
  <si>
    <t>Zepzelca</t>
  </si>
  <si>
    <t>Lubinectedin</t>
  </si>
  <si>
    <t>Small cell lung cancer</t>
  </si>
  <si>
    <t>Luspatercept</t>
  </si>
  <si>
    <t>Reblozyl</t>
  </si>
  <si>
    <t>Beta Thalassemia, MDS</t>
  </si>
  <si>
    <t>Lusutrombopag</t>
  </si>
  <si>
    <t>Mulpleta</t>
  </si>
  <si>
    <t>Luteinizing Hormone</t>
  </si>
  <si>
    <t>Luveris</t>
  </si>
  <si>
    <t>Maca</t>
  </si>
  <si>
    <t>Sexual performance</t>
  </si>
  <si>
    <t>Macimorelin</t>
  </si>
  <si>
    <t>Macrilen</t>
  </si>
  <si>
    <t>Growth hormone deficiency</t>
  </si>
  <si>
    <t>Macitentan</t>
  </si>
  <si>
    <t>Opsumit</t>
  </si>
  <si>
    <t>Pulmonary Hypertension</t>
  </si>
  <si>
    <t>Maftivimab</t>
  </si>
  <si>
    <t>Magnesium</t>
  </si>
  <si>
    <t>Plasma-Lyte</t>
  </si>
  <si>
    <t>Mahogany seeds</t>
  </si>
  <si>
    <t>Swietenia macrophylla</t>
  </si>
  <si>
    <t>Mahogany seed</t>
  </si>
  <si>
    <t>Diabetes, hypertension</t>
  </si>
  <si>
    <t>Manganese</t>
  </si>
  <si>
    <t>Mangimin</t>
  </si>
  <si>
    <t>Maprotiline</t>
  </si>
  <si>
    <t>Ludiomil</t>
  </si>
  <si>
    <t>Maralixibat</t>
  </si>
  <si>
    <t>Livmarli</t>
  </si>
  <si>
    <t>Pruritus of Alagille Syndrome</t>
  </si>
  <si>
    <t>Maraviroc</t>
  </si>
  <si>
    <t>Selzentry</t>
  </si>
  <si>
    <t>Margetuximab</t>
  </si>
  <si>
    <t>Margenza</t>
  </si>
  <si>
    <t>Breast cancer, HER+</t>
  </si>
  <si>
    <t>Margosa Oil</t>
  </si>
  <si>
    <t>Maribavir</t>
  </si>
  <si>
    <t>Livtencity</t>
  </si>
  <si>
    <t xml:space="preserve">Post-transpl refract CMV </t>
  </si>
  <si>
    <t>Marijuana</t>
  </si>
  <si>
    <t>Cannabis</t>
  </si>
  <si>
    <t>Euphoria</t>
  </si>
  <si>
    <t>Marstacimab</t>
  </si>
  <si>
    <t>Hympavzi</t>
  </si>
  <si>
    <t>Mavacamten</t>
  </si>
  <si>
    <t>Camzyos</t>
  </si>
  <si>
    <t>Obstructive cardiomyopathy</t>
  </si>
  <si>
    <t>Mavarixafor</t>
  </si>
  <si>
    <t>Xolrzemdi</t>
  </si>
  <si>
    <t>WHIM syndrome</t>
  </si>
  <si>
    <t>Mebendazole</t>
  </si>
  <si>
    <t>Vermox</t>
  </si>
  <si>
    <t xml:space="preserve">Antihelmintic </t>
  </si>
  <si>
    <t>Mecamylamine</t>
  </si>
  <si>
    <t>Inversine</t>
  </si>
  <si>
    <t>Mechlorethamine</t>
  </si>
  <si>
    <t>Mustargen</t>
  </si>
  <si>
    <t>Meclizine</t>
  </si>
  <si>
    <t>Univert</t>
  </si>
  <si>
    <t>Meclofenamate</t>
  </si>
  <si>
    <t>Meclomen</t>
  </si>
  <si>
    <t>Medroxyprogesterone</t>
  </si>
  <si>
    <t>Amen</t>
  </si>
  <si>
    <t>Mefenamic acid</t>
  </si>
  <si>
    <t>Ponstel</t>
  </si>
  <si>
    <t>Mefloquine</t>
  </si>
  <si>
    <t>Lariam</t>
  </si>
  <si>
    <t>Megestrol</t>
  </si>
  <si>
    <t>Ovaban</t>
  </si>
  <si>
    <t>Melatonin</t>
  </si>
  <si>
    <t>Meloxicam</t>
  </si>
  <si>
    <t>Mobic</t>
  </si>
  <si>
    <t>Melphalan</t>
  </si>
  <si>
    <t>Alkeran</t>
  </si>
  <si>
    <t>Memantine</t>
  </si>
  <si>
    <t>Namenda</t>
  </si>
  <si>
    <t>Menadione</t>
  </si>
  <si>
    <t>Synkavite</t>
  </si>
  <si>
    <t>Vitamin K</t>
  </si>
  <si>
    <t>Mepacrine</t>
  </si>
  <si>
    <t>Atabrine</t>
  </si>
  <si>
    <t>Mepenzolate</t>
  </si>
  <si>
    <t>Cantil</t>
  </si>
  <si>
    <t>Meperidine</t>
  </si>
  <si>
    <t>Demerol</t>
  </si>
  <si>
    <t>Mepivacaine</t>
  </si>
  <si>
    <t>Carbocaine</t>
  </si>
  <si>
    <t>Mepolizumab</t>
  </si>
  <si>
    <t>Nucala</t>
  </si>
  <si>
    <t>Meprobamate</t>
  </si>
  <si>
    <t>Trancot</t>
  </si>
  <si>
    <t>Meptazinol</t>
  </si>
  <si>
    <t>Meptid</t>
  </si>
  <si>
    <t>Mercaptopurine</t>
  </si>
  <si>
    <t>Purinethol</t>
  </si>
  <si>
    <t>Mercury</t>
  </si>
  <si>
    <t>Meropenem</t>
  </si>
  <si>
    <t>Merrem</t>
  </si>
  <si>
    <t>Rowasa</t>
  </si>
  <si>
    <t>Mesna</t>
  </si>
  <si>
    <t>Mesnex</t>
  </si>
  <si>
    <t>Uroprotectant</t>
  </si>
  <si>
    <t>Mestranol</t>
  </si>
  <si>
    <t>Ortho-Novin</t>
  </si>
  <si>
    <t>Metamizole</t>
  </si>
  <si>
    <t>Dipyrone</t>
  </si>
  <si>
    <t>Metaproterenol</t>
  </si>
  <si>
    <t>Metaxalone</t>
  </si>
  <si>
    <t>Skelaxin</t>
  </si>
  <si>
    <t>Metformin</t>
  </si>
  <si>
    <t>Glucophage</t>
  </si>
  <si>
    <t>Methadone</t>
  </si>
  <si>
    <t>Methex</t>
  </si>
  <si>
    <t>Methamphetamine</t>
  </si>
  <si>
    <t>Desoxyn</t>
  </si>
  <si>
    <t>Methandienone</t>
  </si>
  <si>
    <t>Methazolamide</t>
  </si>
  <si>
    <t>Naptazane</t>
  </si>
  <si>
    <t>Glaucoma</t>
  </si>
  <si>
    <t>Methenamine</t>
  </si>
  <si>
    <t>Hippex</t>
  </si>
  <si>
    <t>Methenolone</t>
  </si>
  <si>
    <t>Methicillin</t>
  </si>
  <si>
    <t>Methimazole</t>
  </si>
  <si>
    <t>Tapazol</t>
  </si>
  <si>
    <t>Antithyroid</t>
  </si>
  <si>
    <t>Methocarbamol</t>
  </si>
  <si>
    <t>Carbacot</t>
  </si>
  <si>
    <t>Methotrexate</t>
  </si>
  <si>
    <t>Trexall</t>
  </si>
  <si>
    <t>Methoxsalen</t>
  </si>
  <si>
    <t>Oxsoralen</t>
  </si>
  <si>
    <t>Psoralen</t>
  </si>
  <si>
    <t>Methscopolamine</t>
  </si>
  <si>
    <t>Rhinolar</t>
  </si>
  <si>
    <t>Scopolamine</t>
  </si>
  <si>
    <t>Methsuximide</t>
  </si>
  <si>
    <t>Celontin</t>
  </si>
  <si>
    <t>Methyclothiazide</t>
  </si>
  <si>
    <t>Enduron</t>
  </si>
  <si>
    <t>Methyldopa</t>
  </si>
  <si>
    <t>Aldomet</t>
  </si>
  <si>
    <t>Ritalin</t>
  </si>
  <si>
    <t>Methylprednisolone</t>
  </si>
  <si>
    <t>Cortimed</t>
  </si>
  <si>
    <t>Methyltestosterone</t>
  </si>
  <si>
    <t>Android</t>
  </si>
  <si>
    <t>Methysergide</t>
  </si>
  <si>
    <t>Sansert</t>
  </si>
  <si>
    <t>Metoclopramide</t>
  </si>
  <si>
    <t>Gastroflux</t>
  </si>
  <si>
    <t>Metolazone</t>
  </si>
  <si>
    <t>Mykrox</t>
  </si>
  <si>
    <t>Metoprolol</t>
  </si>
  <si>
    <t>Arbralene</t>
  </si>
  <si>
    <t>Metronidazole</t>
  </si>
  <si>
    <t>Vaginyl</t>
  </si>
  <si>
    <t>Mexiletine</t>
  </si>
  <si>
    <t>Mexitil</t>
  </si>
  <si>
    <t>Mezlocillin</t>
  </si>
  <si>
    <t>Mezlin</t>
  </si>
  <si>
    <t>Micafungin</t>
  </si>
  <si>
    <t>Mycamine</t>
  </si>
  <si>
    <t>Midazolam</t>
  </si>
  <si>
    <t>Versed</t>
  </si>
  <si>
    <t>Midostaurin</t>
  </si>
  <si>
    <t>Redapt</t>
  </si>
  <si>
    <t>AML/Mastocytosis</t>
  </si>
  <si>
    <t>Mifepristone</t>
  </si>
  <si>
    <t>RU-486</t>
  </si>
  <si>
    <t>Abortion</t>
  </si>
  <si>
    <t>Migalastat</t>
  </si>
  <si>
    <t>Galafold</t>
  </si>
  <si>
    <t>Fabry's disease</t>
  </si>
  <si>
    <t>Miglitol</t>
  </si>
  <si>
    <t>Glyset</t>
  </si>
  <si>
    <t>Miglustat</t>
  </si>
  <si>
    <t>Zavesca</t>
  </si>
  <si>
    <t>Milk thistle</t>
  </si>
  <si>
    <t>Silymarin</t>
  </si>
  <si>
    <t>Savella</t>
  </si>
  <si>
    <t>Miltefosine</t>
  </si>
  <si>
    <t>Impavido</t>
  </si>
  <si>
    <t>Antileishmaniasis</t>
  </si>
  <si>
    <t>Minocycline</t>
  </si>
  <si>
    <t>Minocin</t>
  </si>
  <si>
    <t>Minoxidil</t>
  </si>
  <si>
    <t>Rogaine</t>
  </si>
  <si>
    <t>Mipomersen</t>
  </si>
  <si>
    <t>Kynamro</t>
  </si>
  <si>
    <t>Antilipemic Agents</t>
  </si>
  <si>
    <t>Mirabegron</t>
  </si>
  <si>
    <t>Myrbetriq</t>
  </si>
  <si>
    <t>Mirdametinib</t>
  </si>
  <si>
    <t>Gomekli</t>
  </si>
  <si>
    <t>Neurofibromatosis</t>
  </si>
  <si>
    <t>Mirtazapine</t>
  </si>
  <si>
    <t>Remeron</t>
  </si>
  <si>
    <t>Mirvetuximab</t>
  </si>
  <si>
    <t>Elahere</t>
  </si>
  <si>
    <t>Ovarian &amp; fallopian tube cancer</t>
  </si>
  <si>
    <t>Misoprostol</t>
  </si>
  <si>
    <t xml:space="preserve">Arthrotec </t>
  </si>
  <si>
    <t>Mistletoe, American</t>
  </si>
  <si>
    <t>Mistletoe</t>
  </si>
  <si>
    <t>Wellbeing</t>
  </si>
  <si>
    <t>Mistletoe, European</t>
  </si>
  <si>
    <t>Iscar</t>
  </si>
  <si>
    <t>Mitapivat</t>
  </si>
  <si>
    <t>Pyrukynd</t>
  </si>
  <si>
    <t>Pyruvate kinase deficiency</t>
  </si>
  <si>
    <t>Mitomycin</t>
  </si>
  <si>
    <t>Mutamycin</t>
  </si>
  <si>
    <t>Mitotane</t>
  </si>
  <si>
    <t>Lysodren</t>
  </si>
  <si>
    <t>Adrenal carcinoma</t>
  </si>
  <si>
    <t>Mitoxantrone</t>
  </si>
  <si>
    <t>Novantrone</t>
  </si>
  <si>
    <t>Mobocertinib</t>
  </si>
  <si>
    <t>Eykivity</t>
  </si>
  <si>
    <t>NSCLC with EGF2 exon 20 mt</t>
  </si>
  <si>
    <t>Provigil</t>
  </si>
  <si>
    <t>Moexipril</t>
  </si>
  <si>
    <t>Univasc</t>
  </si>
  <si>
    <t>Mogamulizumab</t>
  </si>
  <si>
    <t>Poteligeo</t>
  </si>
  <si>
    <t>Sezary syndrome</t>
  </si>
  <si>
    <t>Molindone</t>
  </si>
  <si>
    <t>Moban</t>
  </si>
  <si>
    <t>Molnupiravir</t>
  </si>
  <si>
    <t>MK-4482</t>
  </si>
  <si>
    <t>Antiviral: SARS-CoV-2</t>
  </si>
  <si>
    <t>Molybdenum</t>
  </si>
  <si>
    <t>Momelotinib</t>
  </si>
  <si>
    <t>Aphexda</t>
  </si>
  <si>
    <t>Myelofibrosis</t>
  </si>
  <si>
    <t>Monomethyl Fumarate</t>
  </si>
  <si>
    <t>Bafiertam</t>
  </si>
  <si>
    <t>Montelukast</t>
  </si>
  <si>
    <t>Singulair</t>
  </si>
  <si>
    <t>Moringa</t>
  </si>
  <si>
    <t xml:space="preserve">Moringa </t>
  </si>
  <si>
    <t>Morphine</t>
  </si>
  <si>
    <t>Zomorph</t>
  </si>
  <si>
    <t>Mosunetuzumab</t>
  </si>
  <si>
    <t>Lunsumio</t>
  </si>
  <si>
    <t>Follicular lymphoma refractory</t>
  </si>
  <si>
    <t>Motixafortide</t>
  </si>
  <si>
    <t>Stem cell donation</t>
  </si>
  <si>
    <t>Move Free</t>
  </si>
  <si>
    <t>HDS: Commercial</t>
  </si>
  <si>
    <t>Moxetumomab</t>
  </si>
  <si>
    <t>Lumoxiti</t>
  </si>
  <si>
    <t>Hairy cell leukemia</t>
  </si>
  <si>
    <t>Moxidectin</t>
  </si>
  <si>
    <t>Anti-helmintic, Onchocerca</t>
  </si>
  <si>
    <t>Moxifloxacin</t>
  </si>
  <si>
    <t>Avelox</t>
  </si>
  <si>
    <t>Muromonab</t>
  </si>
  <si>
    <t xml:space="preserve">Orthoclone </t>
  </si>
  <si>
    <t>Mycophenolate</t>
  </si>
  <si>
    <t>Cellcept</t>
  </si>
  <si>
    <t>Nabilone</t>
  </si>
  <si>
    <t>Cesamet</t>
  </si>
  <si>
    <t>Nabumetone</t>
  </si>
  <si>
    <t>Relafen</t>
  </si>
  <si>
    <t>Nadolol</t>
  </si>
  <si>
    <t>Corgard</t>
  </si>
  <si>
    <t>Nafarelin</t>
  </si>
  <si>
    <t>Synarel</t>
  </si>
  <si>
    <t>Precocious puberty</t>
  </si>
  <si>
    <t>Nafcillin</t>
  </si>
  <si>
    <t>Unipen</t>
  </si>
  <si>
    <t>Nalbuphine</t>
  </si>
  <si>
    <t>Nubain</t>
  </si>
  <si>
    <t>Naldemedine</t>
  </si>
  <si>
    <t>Symproic</t>
  </si>
  <si>
    <t>Constipation</t>
  </si>
  <si>
    <t>Nalmefene</t>
  </si>
  <si>
    <t>Revex</t>
  </si>
  <si>
    <t>Naloxegol</t>
  </si>
  <si>
    <t>Movantik</t>
  </si>
  <si>
    <t>Naloxone</t>
  </si>
  <si>
    <t>Narcan</t>
  </si>
  <si>
    <t>Opiate overdose</t>
  </si>
  <si>
    <t>Naltrexone</t>
  </si>
  <si>
    <t>Vivitrol</t>
  </si>
  <si>
    <t>Naltrexone-Buproprion</t>
  </si>
  <si>
    <t>Contrave</t>
  </si>
  <si>
    <t>Nandrolone</t>
  </si>
  <si>
    <t>Durabolin</t>
  </si>
  <si>
    <t>Naproxen</t>
  </si>
  <si>
    <t>Aleve</t>
  </si>
  <si>
    <t>Naratriptan</t>
  </si>
  <si>
    <t>Amerge</t>
  </si>
  <si>
    <t>Natalizumab</t>
  </si>
  <si>
    <t>Tysabri</t>
  </si>
  <si>
    <t>Nateglinide</t>
  </si>
  <si>
    <t>Starlix</t>
  </si>
  <si>
    <t>Naxitamab</t>
  </si>
  <si>
    <t>Danyelza</t>
  </si>
  <si>
    <t>Nebivolol</t>
  </si>
  <si>
    <t>Bystolic</t>
  </si>
  <si>
    <t>Necitumumab</t>
  </si>
  <si>
    <t>Portrazza</t>
  </si>
  <si>
    <t>NCSLC</t>
  </si>
  <si>
    <t>Nedosiran</t>
  </si>
  <si>
    <t>Rivfloza</t>
  </si>
  <si>
    <t xml:space="preserve">Primary hyperoxaluria type </t>
  </si>
  <si>
    <t>Nefazodone</t>
  </si>
  <si>
    <t>Serzone</t>
  </si>
  <si>
    <t>Nelarabine</t>
  </si>
  <si>
    <t>Arranon</t>
  </si>
  <si>
    <t>Nelfinavir</t>
  </si>
  <si>
    <t>Viracept</t>
  </si>
  <si>
    <t>Nemolizumab</t>
  </si>
  <si>
    <t>Nemluvio</t>
  </si>
  <si>
    <t>Prurigo nodularis</t>
  </si>
  <si>
    <t>Neomycin</t>
  </si>
  <si>
    <t xml:space="preserve">Neosporin </t>
  </si>
  <si>
    <t>Neostigmine</t>
  </si>
  <si>
    <t xml:space="preserve">Prostigmin </t>
  </si>
  <si>
    <t>Muscle stimulant</t>
  </si>
  <si>
    <t>Nerandomilast</t>
  </si>
  <si>
    <t>Jascayd</t>
  </si>
  <si>
    <t>Idiopathic pulmonary fibrosis</t>
  </si>
  <si>
    <t>Neratinib</t>
  </si>
  <si>
    <t>Nerlynz</t>
  </si>
  <si>
    <t>Netarsudil</t>
  </si>
  <si>
    <t>Rhopressa</t>
  </si>
  <si>
    <t>Netupitant</t>
  </si>
  <si>
    <t>Nevirapine</t>
  </si>
  <si>
    <t>Viramune</t>
  </si>
  <si>
    <t>Niacin</t>
  </si>
  <si>
    <t>Advicor</t>
  </si>
  <si>
    <t>Niacinamide</t>
  </si>
  <si>
    <t>RightStep</t>
  </si>
  <si>
    <t>Nicardipine</t>
  </si>
  <si>
    <t>Cardene</t>
  </si>
  <si>
    <t>Nickel</t>
  </si>
  <si>
    <t>Nicotine</t>
  </si>
  <si>
    <t>Nicoderm C-Q</t>
  </si>
  <si>
    <t>Smoking cessation</t>
  </si>
  <si>
    <t>Nifedipine</t>
  </si>
  <si>
    <t>Vasad</t>
  </si>
  <si>
    <t>Nifurtimox</t>
  </si>
  <si>
    <t>Lampit</t>
  </si>
  <si>
    <t>Nilotinib</t>
  </si>
  <si>
    <t>Tasigna</t>
  </si>
  <si>
    <t>Nilutamide</t>
  </si>
  <si>
    <t>Nilandron</t>
  </si>
  <si>
    <t>Nimesulide</t>
  </si>
  <si>
    <t>Sulide</t>
  </si>
  <si>
    <t>Nimodipine</t>
  </si>
  <si>
    <t>Nimotop</t>
  </si>
  <si>
    <t>Nintedanib</t>
  </si>
  <si>
    <t>Ofev</t>
  </si>
  <si>
    <t>Pulmonary fibrosis</t>
  </si>
  <si>
    <t>Nipocalimab</t>
  </si>
  <si>
    <t>Imaavy</t>
  </si>
  <si>
    <t>Myasthenia gravis</t>
  </si>
  <si>
    <t>Niraparib</t>
  </si>
  <si>
    <t>Zejula</t>
  </si>
  <si>
    <t>Ovarian Cancer</t>
  </si>
  <si>
    <t>Nirmatrelvir</t>
  </si>
  <si>
    <t>Paxlovid</t>
  </si>
  <si>
    <t>Nirogacestat</t>
  </si>
  <si>
    <t>Ogsiveo</t>
  </si>
  <si>
    <t>Desmoid tumors</t>
  </si>
  <si>
    <t>Nirsevimab</t>
  </si>
  <si>
    <t>Beyfortus</t>
  </si>
  <si>
    <t>RSV infection prevention</t>
  </si>
  <si>
    <t>Nisoldipine</t>
  </si>
  <si>
    <t>Sular</t>
  </si>
  <si>
    <t>Nitazoxanide</t>
  </si>
  <si>
    <t>Alinia</t>
  </si>
  <si>
    <t>Nitisinone</t>
  </si>
  <si>
    <t>Orfadin</t>
  </si>
  <si>
    <t>Tyrosinemia</t>
  </si>
  <si>
    <t>Nitrofurantoin</t>
  </si>
  <si>
    <t>Macrodantin</t>
  </si>
  <si>
    <t>Nitroglycerin</t>
  </si>
  <si>
    <t>Nitroquick</t>
  </si>
  <si>
    <t>Nitroprusside</t>
  </si>
  <si>
    <t>Nitropress</t>
  </si>
  <si>
    <t>Vasodilator</t>
  </si>
  <si>
    <t>Nivolumab</t>
  </si>
  <si>
    <t>Opdivo</t>
  </si>
  <si>
    <t>Melanoma, HCC, Renal</t>
  </si>
  <si>
    <t>Nizatidine</t>
  </si>
  <si>
    <t xml:space="preserve">Axid </t>
  </si>
  <si>
    <t>Noni</t>
  </si>
  <si>
    <t>Norelgestromin</t>
  </si>
  <si>
    <t>Ortho Evra</t>
  </si>
  <si>
    <t>Norethisterone</t>
  </si>
  <si>
    <t>Norfloxacin</t>
  </si>
  <si>
    <t>Chibroxin</t>
  </si>
  <si>
    <t>Norgestimate</t>
  </si>
  <si>
    <t>Ortho Cyclen</t>
  </si>
  <si>
    <t>Norgestrel</t>
  </si>
  <si>
    <t>Ovrette</t>
  </si>
  <si>
    <t>Nortriptyline</t>
  </si>
  <si>
    <t>Aventyl</t>
  </si>
  <si>
    <t>Nux vomica</t>
  </si>
  <si>
    <t>Gastrointestinal upset</t>
  </si>
  <si>
    <t>Nystatin</t>
  </si>
  <si>
    <t>Tri-Statin II</t>
  </si>
  <si>
    <t>Obeticholic acid</t>
  </si>
  <si>
    <t>Ocaliva</t>
  </si>
  <si>
    <t>Primary biliary cirrhosis</t>
  </si>
  <si>
    <t>Obiltoxaximab</t>
  </si>
  <si>
    <t>Anthim</t>
  </si>
  <si>
    <t>Anthrax Antitoxins</t>
  </si>
  <si>
    <t>Ocrelizumab</t>
  </si>
  <si>
    <t>Ocrevus</t>
  </si>
  <si>
    <t>Octreotide</t>
  </si>
  <si>
    <t>Sandostatin</t>
  </si>
  <si>
    <t>Hormone suppression</t>
  </si>
  <si>
    <t>Odesivimal</t>
  </si>
  <si>
    <t>Odevixibat</t>
  </si>
  <si>
    <t>Bylvay</t>
  </si>
  <si>
    <t>Pruritus of PFIC</t>
  </si>
  <si>
    <t>Ofatumumab</t>
  </si>
  <si>
    <t>Arzerra</t>
  </si>
  <si>
    <t>Ofloxacin</t>
  </si>
  <si>
    <t>Floxin</t>
  </si>
  <si>
    <t>Olanzapine</t>
  </si>
  <si>
    <t>Zyprexa</t>
  </si>
  <si>
    <t>Olaparib</t>
  </si>
  <si>
    <t>Lynparza</t>
  </si>
  <si>
    <t>Ovarian cancer</t>
  </si>
  <si>
    <t>Olaratumab</t>
  </si>
  <si>
    <t>Latruvo</t>
  </si>
  <si>
    <t>Sarcoma</t>
  </si>
  <si>
    <t>Olezarsen</t>
  </si>
  <si>
    <t>Tryngolza</t>
  </si>
  <si>
    <t>Familial Chylomicroemia</t>
  </si>
  <si>
    <t>Oliceridine</t>
  </si>
  <si>
    <t>Olinvyk</t>
  </si>
  <si>
    <t>Olipudase alfa</t>
  </si>
  <si>
    <t>Xenpozyme</t>
  </si>
  <si>
    <t>Enzyme Replacement</t>
  </si>
  <si>
    <t>Sphingomyelinase deficiency</t>
  </si>
  <si>
    <t xml:space="preserve">Olmesartan </t>
  </si>
  <si>
    <t>Azor 10/20</t>
  </si>
  <si>
    <t>Olsalazine</t>
  </si>
  <si>
    <t>Dipentum</t>
  </si>
  <si>
    <t>Olutasidenib</t>
  </si>
  <si>
    <t>Rezlidha</t>
  </si>
  <si>
    <t>IDH1 mutant cancers</t>
  </si>
  <si>
    <t>Omacetaxine</t>
  </si>
  <si>
    <t>Synribo</t>
  </si>
  <si>
    <t>Omadacycline</t>
  </si>
  <si>
    <t>Nuzyra</t>
  </si>
  <si>
    <t>Pneumonia, Skin &amp; Skin St</t>
  </si>
  <si>
    <t>Omalizumab</t>
  </si>
  <si>
    <t>Omlyclo</t>
  </si>
  <si>
    <t>Xolair</t>
  </si>
  <si>
    <t>Omaveloxolone</t>
  </si>
  <si>
    <t>Skyclarys</t>
  </si>
  <si>
    <t>Friedreich Ataxia</t>
  </si>
  <si>
    <t>Ombitasvir</t>
  </si>
  <si>
    <t>Omega 3 carboxylic acids</t>
  </si>
  <si>
    <t>Epanova</t>
  </si>
  <si>
    <t>Omega 3 ethyl esters</t>
  </si>
  <si>
    <t>Lovaza</t>
  </si>
  <si>
    <t>Omega 3 fatty acids</t>
  </si>
  <si>
    <t>Prilosec</t>
  </si>
  <si>
    <t>Onasemnogene abeparvovec</t>
  </si>
  <si>
    <t>Zolgensma</t>
  </si>
  <si>
    <t>Spinal Muscular Atrophy</t>
  </si>
  <si>
    <t>Ondansetron</t>
  </si>
  <si>
    <t>Zofran</t>
  </si>
  <si>
    <t>5-HT3 Receptor Antagonists</t>
  </si>
  <si>
    <t>Opicapone</t>
  </si>
  <si>
    <t>Ongentys</t>
  </si>
  <si>
    <t>Opium</t>
  </si>
  <si>
    <t>Oprelvekin</t>
  </si>
  <si>
    <t>Neumega</t>
  </si>
  <si>
    <t>Oregano</t>
  </si>
  <si>
    <t>Infections</t>
  </si>
  <si>
    <t>Oritavancin</t>
  </si>
  <si>
    <t>Orbactiv</t>
  </si>
  <si>
    <t>Orlistat</t>
  </si>
  <si>
    <t>Alli, Xenical</t>
  </si>
  <si>
    <t>Orphenadrine</t>
  </si>
  <si>
    <t>Norflex</t>
  </si>
  <si>
    <t>Oseltamivir</t>
  </si>
  <si>
    <t>Tamiflu</t>
  </si>
  <si>
    <t>Antiviral: Influenza</t>
  </si>
  <si>
    <t>Osilodrostat</t>
  </si>
  <si>
    <t>Isturisa</t>
  </si>
  <si>
    <t>Cushing's syndrome</t>
  </si>
  <si>
    <t>Osimertinib</t>
  </si>
  <si>
    <t>Tagrisso</t>
  </si>
  <si>
    <t>Ospemifene</t>
  </si>
  <si>
    <t>Osphena</t>
  </si>
  <si>
    <t>Selective Estrogen Rcpt Modulators</t>
  </si>
  <si>
    <t>Oteseconazole</t>
  </si>
  <si>
    <t>Vivjoa</t>
  </si>
  <si>
    <t>Candidiasis, vulvar</t>
  </si>
  <si>
    <t>Oxacillin</t>
  </si>
  <si>
    <t>Bactocill</t>
  </si>
  <si>
    <t>Oxaliplatin</t>
  </si>
  <si>
    <t>Eloxatin</t>
  </si>
  <si>
    <t>Oxandrolone</t>
  </si>
  <si>
    <t>Oxandrin</t>
  </si>
  <si>
    <t>Oxaprozin</t>
  </si>
  <si>
    <t>Daypro</t>
  </si>
  <si>
    <t>Oxazepam</t>
  </si>
  <si>
    <t>Oxanid</t>
  </si>
  <si>
    <t>Oxcarbazepine</t>
  </si>
  <si>
    <t>Trileptal</t>
  </si>
  <si>
    <t>Oxybate</t>
  </si>
  <si>
    <t>Xyrem</t>
  </si>
  <si>
    <t>Narcolepsy</t>
  </si>
  <si>
    <t>Oxybutynin</t>
  </si>
  <si>
    <t>Oxytrol</t>
  </si>
  <si>
    <t>Oxycodone</t>
  </si>
  <si>
    <t>Oxycontin</t>
  </si>
  <si>
    <t>OxyElite Pro</t>
  </si>
  <si>
    <t>Oxymetholone</t>
  </si>
  <si>
    <t>Anadrol-50</t>
  </si>
  <si>
    <t>Oxymorphone</t>
  </si>
  <si>
    <t>Numorphan</t>
  </si>
  <si>
    <t>Oxytetracycline</t>
  </si>
  <si>
    <t>Terramycin</t>
  </si>
  <si>
    <t>Tetracycline</t>
  </si>
  <si>
    <t>Ozanimod</t>
  </si>
  <si>
    <t>Zeposia</t>
  </si>
  <si>
    <t>Paclitaxel</t>
  </si>
  <si>
    <t>Abraxane, Taxol</t>
  </si>
  <si>
    <t>Pacritinib</t>
  </si>
  <si>
    <t>Vonjo</t>
  </si>
  <si>
    <t>Polycytemia Vera</t>
  </si>
  <si>
    <t>Palbociclib</t>
  </si>
  <si>
    <t>Ibrance</t>
  </si>
  <si>
    <t>Palifermin</t>
  </si>
  <si>
    <t>Kepivance</t>
  </si>
  <si>
    <t>Mucositis prevention</t>
  </si>
  <si>
    <t>Paliperidone</t>
  </si>
  <si>
    <t>Invega</t>
  </si>
  <si>
    <t>Palonosetron</t>
  </si>
  <si>
    <t>Aloxi</t>
  </si>
  <si>
    <t>Serotonin 5-HT3 Rcptr Antagonists</t>
  </si>
  <si>
    <t>Palopegteriparatide</t>
  </si>
  <si>
    <t>Yorvipath</t>
  </si>
  <si>
    <t>Hypoparathyroidism</t>
  </si>
  <si>
    <t>Palovarotene</t>
  </si>
  <si>
    <t>Sohonos</t>
  </si>
  <si>
    <t>Fibrodysplasic ossifficans</t>
  </si>
  <si>
    <t>Pamabrom</t>
  </si>
  <si>
    <t>Diurex</t>
  </si>
  <si>
    <t>Diruetic</t>
  </si>
  <si>
    <t>Pamidronate</t>
  </si>
  <si>
    <t>Aredia</t>
  </si>
  <si>
    <t>Hypercalcemia</t>
  </si>
  <si>
    <t>Panitumumab</t>
  </si>
  <si>
    <t>Vectibix</t>
  </si>
  <si>
    <t>Panobinostat</t>
  </si>
  <si>
    <t>Farydak</t>
  </si>
  <si>
    <t>Pantoprazole</t>
  </si>
  <si>
    <t>Protonix</t>
  </si>
  <si>
    <t>Pantothenic Acid</t>
  </si>
  <si>
    <t>Prenatal Rx 1</t>
  </si>
  <si>
    <t>Papaverine</t>
  </si>
  <si>
    <t>Papacon</t>
  </si>
  <si>
    <t>Paritaprevir</t>
  </si>
  <si>
    <t>Paroxetine</t>
  </si>
  <si>
    <t>Paxil</t>
  </si>
  <si>
    <t>Pasireotide</t>
  </si>
  <si>
    <t>Signifor</t>
  </si>
  <si>
    <t>Passionflower</t>
  </si>
  <si>
    <t>Patisiran</t>
  </si>
  <si>
    <t>Onputtro</t>
  </si>
  <si>
    <t xml:space="preserve">Genetic </t>
  </si>
  <si>
    <t>Pazopanib</t>
  </si>
  <si>
    <t>Votrient</t>
  </si>
  <si>
    <t>Pegademase</t>
  </si>
  <si>
    <t>Adagen</t>
  </si>
  <si>
    <t>ADA deficiency</t>
  </si>
  <si>
    <t>Pegaptanib</t>
  </si>
  <si>
    <t>Macugen</t>
  </si>
  <si>
    <t>Pegaspargase</t>
  </si>
  <si>
    <t>Oncaspar</t>
  </si>
  <si>
    <t>Pegcetacoplan</t>
  </si>
  <si>
    <t>Empaveli,Syfovre</t>
  </si>
  <si>
    <t>PNH</t>
  </si>
  <si>
    <t>Pegfilgrastim</t>
  </si>
  <si>
    <t>Neulasta</t>
  </si>
  <si>
    <t>Peginesatide</t>
  </si>
  <si>
    <t>Omontys</t>
  </si>
  <si>
    <t>Peginterferon alfa</t>
  </si>
  <si>
    <t>Pegasys</t>
  </si>
  <si>
    <t>Alpha Interferon</t>
  </si>
  <si>
    <t>Pegloticase</t>
  </si>
  <si>
    <t>Krystexxa</t>
  </si>
  <si>
    <t>Pegunigalsidase</t>
  </si>
  <si>
    <t>El Fabrio</t>
  </si>
  <si>
    <t>Pembrolizumab</t>
  </si>
  <si>
    <t>Keytruda</t>
  </si>
  <si>
    <t>Pemetrexed</t>
  </si>
  <si>
    <t>Alimta</t>
  </si>
  <si>
    <t>Pemigatinib</t>
  </si>
  <si>
    <t>Pemazyre</t>
  </si>
  <si>
    <t>Cholangioca, FGFR2 fusion</t>
  </si>
  <si>
    <t>Pemoline</t>
  </si>
  <si>
    <t>Pemolert</t>
  </si>
  <si>
    <t>Penbutolol</t>
  </si>
  <si>
    <t>Levatol</t>
  </si>
  <si>
    <t>Penicillamine</t>
  </si>
  <si>
    <t>Cuprimine</t>
  </si>
  <si>
    <t>Copper chelation</t>
  </si>
  <si>
    <t>Penicillin G &amp; V</t>
  </si>
  <si>
    <t>Bicillin</t>
  </si>
  <si>
    <t>Pennyroyal</t>
  </si>
  <si>
    <t>Penpulimab</t>
  </si>
  <si>
    <t>Nasopharyngeal Ca</t>
  </si>
  <si>
    <t>Pentamidine</t>
  </si>
  <si>
    <t>NebuPent</t>
  </si>
  <si>
    <t>Pentazocine</t>
  </si>
  <si>
    <t>Talwin</t>
  </si>
  <si>
    <t>Pentobarbital</t>
  </si>
  <si>
    <t>Nembutal</t>
  </si>
  <si>
    <t>Pentosan Polysulfate</t>
  </si>
  <si>
    <t>Elmiron</t>
  </si>
  <si>
    <t>Pentostatin</t>
  </si>
  <si>
    <t>Nipent</t>
  </si>
  <si>
    <t>Pentoxifylline</t>
  </si>
  <si>
    <t>Pentopak</t>
  </si>
  <si>
    <t>Peramivir</t>
  </si>
  <si>
    <t>Rapivab</t>
  </si>
  <si>
    <t>Perampanel</t>
  </si>
  <si>
    <t>Fycompa</t>
  </si>
  <si>
    <t>Pergolide</t>
  </si>
  <si>
    <t>Epermax</t>
  </si>
  <si>
    <t>Perindopril</t>
  </si>
  <si>
    <t>Aceon</t>
  </si>
  <si>
    <t>Perphenazine</t>
  </si>
  <si>
    <t>Trilafon</t>
  </si>
  <si>
    <t>Pertuzumab</t>
  </si>
  <si>
    <t>Perjeta</t>
  </si>
  <si>
    <t>Poherdy</t>
  </si>
  <si>
    <t>Pexidartinib</t>
  </si>
  <si>
    <t>Turalio</t>
  </si>
  <si>
    <t>Tenosynovial giant cell tumor</t>
  </si>
  <si>
    <t>Phenazopyridine</t>
  </si>
  <si>
    <t>Pyridium</t>
  </si>
  <si>
    <t>Phencyclidine</t>
  </si>
  <si>
    <t>Sernyl</t>
  </si>
  <si>
    <t>Phendimetrazine</t>
  </si>
  <si>
    <t>Adipost</t>
  </si>
  <si>
    <t xml:space="preserve">Phenelzine </t>
  </si>
  <si>
    <t>Nardil</t>
  </si>
  <si>
    <t>Pheniramine</t>
  </si>
  <si>
    <t>Avil</t>
  </si>
  <si>
    <t>Phenobarbital</t>
  </si>
  <si>
    <t>Luminal</t>
  </si>
  <si>
    <t>Phenolphthalein</t>
  </si>
  <si>
    <t>Ex-Lax</t>
  </si>
  <si>
    <t>Phentermine</t>
  </si>
  <si>
    <t>Adipex-P</t>
  </si>
  <si>
    <t>Phenylbutyrate</t>
  </si>
  <si>
    <t>Buphenyl</t>
  </si>
  <si>
    <t>Sodium Phenylbutyrate</t>
  </si>
  <si>
    <t>Urea cycle disorders</t>
  </si>
  <si>
    <t>Ravicti</t>
  </si>
  <si>
    <t>Glycerol Phenylbutyrate</t>
  </si>
  <si>
    <t>Amyotrophic Lateral Sclerosis</t>
  </si>
  <si>
    <t>Phenylephrine</t>
  </si>
  <si>
    <t>Neo Synephrine</t>
  </si>
  <si>
    <t>Phenyltoloxamine</t>
  </si>
  <si>
    <t>Acuflex</t>
  </si>
  <si>
    <t>Phenytoin</t>
  </si>
  <si>
    <t>Dilantin</t>
  </si>
  <si>
    <t>Physostigmine</t>
  </si>
  <si>
    <t>Antilirium</t>
  </si>
  <si>
    <t>Phytonadione</t>
  </si>
  <si>
    <t>Pibrentasvir</t>
  </si>
  <si>
    <t>Pilocarpine</t>
  </si>
  <si>
    <t>Pimavanserin</t>
  </si>
  <si>
    <t>Nuplazid</t>
  </si>
  <si>
    <t>Pimozide</t>
  </si>
  <si>
    <t>Orap</t>
  </si>
  <si>
    <t>Pindolol</t>
  </si>
  <si>
    <t>Betadren</t>
  </si>
  <si>
    <t>Pine Bark</t>
  </si>
  <si>
    <t>Cognitive improvement</t>
  </si>
  <si>
    <t>Pioglitazone</t>
  </si>
  <si>
    <t>Actos</t>
  </si>
  <si>
    <t>Piperacillin</t>
  </si>
  <si>
    <t>Pipracil</t>
  </si>
  <si>
    <t>Piperacillin/Tazobactam</t>
  </si>
  <si>
    <t>Zosyn</t>
  </si>
  <si>
    <t>Pirbuterol</t>
  </si>
  <si>
    <t>Maxair</t>
  </si>
  <si>
    <t>Pirfenidone</t>
  </si>
  <si>
    <t>Esbriet</t>
  </si>
  <si>
    <t>Piroxicam</t>
  </si>
  <si>
    <t>Brexidol</t>
  </si>
  <si>
    <t>Pirtobrutinib</t>
  </si>
  <si>
    <t>Jaypirca</t>
  </si>
  <si>
    <t>CLL, Mantle Cell Lymphoma</t>
  </si>
  <si>
    <t>Pitavastatin</t>
  </si>
  <si>
    <t>Livalo</t>
  </si>
  <si>
    <t>Pitolisant</t>
  </si>
  <si>
    <t>Wakix</t>
  </si>
  <si>
    <t>Narcolepsy, sleepiness</t>
  </si>
  <si>
    <t>Plazomcin</t>
  </si>
  <si>
    <t>Zemdri</t>
  </si>
  <si>
    <t>Plecanatide</t>
  </si>
  <si>
    <t>Trulance</t>
  </si>
  <si>
    <t>Plerixafor</t>
  </si>
  <si>
    <t>Mozobil</t>
  </si>
  <si>
    <t>Bone marrow harvest</t>
  </si>
  <si>
    <t>Plicamycin</t>
  </si>
  <si>
    <t>Mithramycin</t>
  </si>
  <si>
    <t>Plozasiran</t>
  </si>
  <si>
    <t>Redemplo</t>
  </si>
  <si>
    <t>Cardiology</t>
  </si>
  <si>
    <t>Hypertriglyceridemia</t>
  </si>
  <si>
    <t>Polatuzumab Vedotin</t>
  </si>
  <si>
    <t>Polivy</t>
  </si>
  <si>
    <t>Polatuzumab vedotin</t>
  </si>
  <si>
    <t>Lymphoma, large B cell</t>
  </si>
  <si>
    <t>Polygonum Multiflorum</t>
  </si>
  <si>
    <t>Gray hair</t>
  </si>
  <si>
    <t>Polythiazide</t>
  </si>
  <si>
    <t>Minizide</t>
  </si>
  <si>
    <t>Pomalidomide</t>
  </si>
  <si>
    <t>Pomalyst</t>
  </si>
  <si>
    <t>Ponatinib</t>
  </si>
  <si>
    <t>Iclusig</t>
  </si>
  <si>
    <t>Ponesimod</t>
  </si>
  <si>
    <t>Ponvory</t>
  </si>
  <si>
    <t>Posaconazole</t>
  </si>
  <si>
    <t>Noxafil</t>
  </si>
  <si>
    <t>Pozelimab</t>
  </si>
  <si>
    <t>Veopoz</t>
  </si>
  <si>
    <t>CD55 deficient enteropathy</t>
  </si>
  <si>
    <t>Pralatrexate</t>
  </si>
  <si>
    <t>Folotyn</t>
  </si>
  <si>
    <t>Pralsetinib</t>
  </si>
  <si>
    <t>Gavreto</t>
  </si>
  <si>
    <t>RET pos NSCLC</t>
  </si>
  <si>
    <t>Pramipexole</t>
  </si>
  <si>
    <t>Mirapex</t>
  </si>
  <si>
    <t>Pramlintide</t>
  </si>
  <si>
    <t>Symlin</t>
  </si>
  <si>
    <t>Prasugrel</t>
  </si>
  <si>
    <t>Effient</t>
  </si>
  <si>
    <t>Pravastatin</t>
  </si>
  <si>
    <t>Pravachol</t>
  </si>
  <si>
    <t>Praziquantel</t>
  </si>
  <si>
    <t>Biltricide</t>
  </si>
  <si>
    <t>Prazosin</t>
  </si>
  <si>
    <t>Alphavase</t>
  </si>
  <si>
    <t>Prednisolone</t>
  </si>
  <si>
    <t>Prelone</t>
  </si>
  <si>
    <t>Prednisone</t>
  </si>
  <si>
    <t>Deltasone</t>
  </si>
  <si>
    <t>Pregabalin</t>
  </si>
  <si>
    <t>Lyrica</t>
  </si>
  <si>
    <t>Pretomanid</t>
  </si>
  <si>
    <t>Tbc, mult-drug resistant</t>
  </si>
  <si>
    <t>Prilocaine</t>
  </si>
  <si>
    <t>Citanest</t>
  </si>
  <si>
    <t>Primaquine</t>
  </si>
  <si>
    <t>Primidone</t>
  </si>
  <si>
    <t>Mysoline</t>
  </si>
  <si>
    <t>Probenecid</t>
  </si>
  <si>
    <t>Benemid</t>
  </si>
  <si>
    <t>Procainamide</t>
  </si>
  <si>
    <t>Pronestyl</t>
  </si>
  <si>
    <t>Procarbazine</t>
  </si>
  <si>
    <t>Matulane</t>
  </si>
  <si>
    <t xml:space="preserve">Lymphoma </t>
  </si>
  <si>
    <t>Prochlorperazine</t>
  </si>
  <si>
    <t>Compazine</t>
  </si>
  <si>
    <t>Progesterone</t>
  </si>
  <si>
    <t>Crinone</t>
  </si>
  <si>
    <t>Proguanil</t>
  </si>
  <si>
    <t>Promethazine</t>
  </si>
  <si>
    <t>Adgan</t>
  </si>
  <si>
    <t>Propafenone</t>
  </si>
  <si>
    <t>Rythmol</t>
  </si>
  <si>
    <t>Propantheline</t>
  </si>
  <si>
    <t>Probanthine</t>
  </si>
  <si>
    <t>Diprivan</t>
  </si>
  <si>
    <t>Propolis</t>
  </si>
  <si>
    <t>Propranolol</t>
  </si>
  <si>
    <t>Angilol</t>
  </si>
  <si>
    <t>Propylthiouracil</t>
  </si>
  <si>
    <t>Protriptyline</t>
  </si>
  <si>
    <t>Concordin</t>
  </si>
  <si>
    <t>Prucalopride</t>
  </si>
  <si>
    <t>Motegrity</t>
  </si>
  <si>
    <t>Pseudoephedrine</t>
  </si>
  <si>
    <t>Actifed</t>
  </si>
  <si>
    <t>Psyllium</t>
  </si>
  <si>
    <t>Metamucil</t>
  </si>
  <si>
    <t>Pyrantel</t>
  </si>
  <si>
    <t>Antiminth</t>
  </si>
  <si>
    <t>Pyrazinamide</t>
  </si>
  <si>
    <t>Rifater</t>
  </si>
  <si>
    <t>Pyridostigmine</t>
  </si>
  <si>
    <t>Mestinon</t>
  </si>
  <si>
    <t>Pyridoxine</t>
  </si>
  <si>
    <t xml:space="preserve">Dialyvite </t>
  </si>
  <si>
    <t>Pyrimethamine</t>
  </si>
  <si>
    <t>Daraprim</t>
  </si>
  <si>
    <t>Sulfadoxine-Pyrimethamine</t>
  </si>
  <si>
    <t>Quazepam</t>
  </si>
  <si>
    <t>Doral</t>
  </si>
  <si>
    <t>Quercetin</t>
  </si>
  <si>
    <t>Allergy brand</t>
  </si>
  <si>
    <t>Quetiapine</t>
  </si>
  <si>
    <t>Seroquel</t>
  </si>
  <si>
    <t>Quinapril</t>
  </si>
  <si>
    <t>Accupril</t>
  </si>
  <si>
    <t>Quinidine</t>
  </si>
  <si>
    <t>Cardioquin</t>
  </si>
  <si>
    <t>Quinine</t>
  </si>
  <si>
    <t>QM-260</t>
  </si>
  <si>
    <t>Quinupristin</t>
  </si>
  <si>
    <t>Quizartinib</t>
  </si>
  <si>
    <t>Vanflyta</t>
  </si>
  <si>
    <t>Rabeprazole</t>
  </si>
  <si>
    <t>Aciphex</t>
  </si>
  <si>
    <t>Raloxifene</t>
  </si>
  <si>
    <t>Evista</t>
  </si>
  <si>
    <t>Raltegravir</t>
  </si>
  <si>
    <t>Isentress</t>
  </si>
  <si>
    <t>Ramelteon</t>
  </si>
  <si>
    <t>Rozerem</t>
  </si>
  <si>
    <t>Ramipril</t>
  </si>
  <si>
    <t>Altace</t>
  </si>
  <si>
    <t>Ramucirumab</t>
  </si>
  <si>
    <t>Cyramza</t>
  </si>
  <si>
    <t>Ranibizumab</t>
  </si>
  <si>
    <t>Lucentis</t>
  </si>
  <si>
    <t>Ranitidine</t>
  </si>
  <si>
    <t>Zantac</t>
  </si>
  <si>
    <t>Ranolazine</t>
  </si>
  <si>
    <t>Ranexa</t>
  </si>
  <si>
    <t>Rasagiline</t>
  </si>
  <si>
    <t>Azilect</t>
  </si>
  <si>
    <t>Rasburicase</t>
  </si>
  <si>
    <t>Elitek</t>
  </si>
  <si>
    <t>Tumor lysis syndrome</t>
  </si>
  <si>
    <t>Ravulizumab</t>
  </si>
  <si>
    <t>Ultomiris</t>
  </si>
  <si>
    <t>Raxibacumab</t>
  </si>
  <si>
    <t>Anthrax</t>
  </si>
  <si>
    <t>Red Yeast Rice</t>
  </si>
  <si>
    <t>Cholestin</t>
  </si>
  <si>
    <t>Regorafenib</t>
  </si>
  <si>
    <t>Stivarga</t>
  </si>
  <si>
    <t>Colon cancer</t>
  </si>
  <si>
    <t>Relugolix</t>
  </si>
  <si>
    <t>Orgovyx</t>
  </si>
  <si>
    <t>Remdesivir</t>
  </si>
  <si>
    <t>Verkulty</t>
  </si>
  <si>
    <t>Remibrutinib</t>
  </si>
  <si>
    <t>Rhapsido</t>
  </si>
  <si>
    <t>Spontaneous urticaria</t>
  </si>
  <si>
    <t>Remifentanil</t>
  </si>
  <si>
    <t>Ultiva</t>
  </si>
  <si>
    <t>Remimazolam</t>
  </si>
  <si>
    <t>Byfavo</t>
  </si>
  <si>
    <t>Sedation for procedulres</t>
  </si>
  <si>
    <t>Repaglinide</t>
  </si>
  <si>
    <t>Prandin</t>
  </si>
  <si>
    <t>Repotrectinib</t>
  </si>
  <si>
    <t>Augtyro</t>
  </si>
  <si>
    <t>NSCLC Ros-1 mt or rearrangement</t>
  </si>
  <si>
    <t>Reserpine</t>
  </si>
  <si>
    <t>Unipres</t>
  </si>
  <si>
    <t>Reslizumab</t>
  </si>
  <si>
    <t>Cinqair</t>
  </si>
  <si>
    <t>Resmetirom</t>
  </si>
  <si>
    <t>Rezdiffra</t>
  </si>
  <si>
    <t>NASH with fibrosis</t>
  </si>
  <si>
    <t>Resveratrol</t>
  </si>
  <si>
    <t>Aging</t>
  </si>
  <si>
    <t>Retifanlimab</t>
  </si>
  <si>
    <t>Zynyz</t>
  </si>
  <si>
    <t>Merkel Cell Lymphoma</t>
  </si>
  <si>
    <t>Revefenacin</t>
  </si>
  <si>
    <t>Yupelri</t>
  </si>
  <si>
    <t>Revumenib Citrate</t>
  </si>
  <si>
    <t>Revuforj</t>
  </si>
  <si>
    <t>Acute leukemia, relapse</t>
  </si>
  <si>
    <t>Rezafungin</t>
  </si>
  <si>
    <t>Rezzayo</t>
  </si>
  <si>
    <t>Antifungal, candidiasis</t>
  </si>
  <si>
    <t>Ribavirin</t>
  </si>
  <si>
    <t>Rebetol</t>
  </si>
  <si>
    <t xml:space="preserve">Antiviral: HCV </t>
  </si>
  <si>
    <t>Ribocicib</t>
  </si>
  <si>
    <t>Kisgalli</t>
  </si>
  <si>
    <t>Riboflavin</t>
  </si>
  <si>
    <t>Rifabutin</t>
  </si>
  <si>
    <t>Mycobutin</t>
  </si>
  <si>
    <t>Rifampin</t>
  </si>
  <si>
    <t>IsonaRif</t>
  </si>
  <si>
    <t>Rifamycin</t>
  </si>
  <si>
    <t>Aemcolo</t>
  </si>
  <si>
    <t>Travelers diarrhea</t>
  </si>
  <si>
    <t>Rifapentine</t>
  </si>
  <si>
    <t>Priftin</t>
  </si>
  <si>
    <t>Rifaximin</t>
  </si>
  <si>
    <t>Xifaxan</t>
  </si>
  <si>
    <t>Rilonacept</t>
  </si>
  <si>
    <t>Arcalyst</t>
  </si>
  <si>
    <t>CAPS</t>
  </si>
  <si>
    <t>Rilpivirine</t>
  </si>
  <si>
    <t>Edurant</t>
  </si>
  <si>
    <t>Riluzole</t>
  </si>
  <si>
    <t>Rilutek</t>
  </si>
  <si>
    <t>Rilzabrutinib</t>
  </si>
  <si>
    <t>Wayrilz</t>
  </si>
  <si>
    <t>Immune Thrombocytopenia</t>
  </si>
  <si>
    <t>Rimantadine</t>
  </si>
  <si>
    <t>Flumadine</t>
  </si>
  <si>
    <t>Rimegepant</t>
  </si>
  <si>
    <t>Nurtec ODT</t>
  </si>
  <si>
    <t>Migraine treatment</t>
  </si>
  <si>
    <t>Riociguat</t>
  </si>
  <si>
    <t>Adempas</t>
  </si>
  <si>
    <t>Ripretinib</t>
  </si>
  <si>
    <t>Qivilock</t>
  </si>
  <si>
    <t>GIST, refractory</t>
  </si>
  <si>
    <t>Risankizumab</t>
  </si>
  <si>
    <t>Skyrizi</t>
  </si>
  <si>
    <t>Risdiplam</t>
  </si>
  <si>
    <t>Evrysdi</t>
  </si>
  <si>
    <t>Spinal muscular atrophy</t>
  </si>
  <si>
    <t>Risedronate</t>
  </si>
  <si>
    <t>Actonel</t>
  </si>
  <si>
    <t>Risperidone</t>
  </si>
  <si>
    <t>Risperdal</t>
  </si>
  <si>
    <t>Ritlecitinib</t>
  </si>
  <si>
    <t>Lifulo</t>
  </si>
  <si>
    <t>Ritonavir</t>
  </si>
  <si>
    <t>Norvir</t>
  </si>
  <si>
    <t>Rituximab</t>
  </si>
  <si>
    <t>Rituxan</t>
  </si>
  <si>
    <t>Rivaroxaban</t>
  </si>
  <si>
    <t>Xarelto</t>
  </si>
  <si>
    <t>Rivastigmine</t>
  </si>
  <si>
    <t>Exelon</t>
  </si>
  <si>
    <t>Rizatriptan</t>
  </si>
  <si>
    <t>Maxalt</t>
  </si>
  <si>
    <t>Rofecoxib</t>
  </si>
  <si>
    <t>Vioxx</t>
  </si>
  <si>
    <t>Roflumilast</t>
  </si>
  <si>
    <t>Daliresp</t>
  </si>
  <si>
    <t>Rolapitant</t>
  </si>
  <si>
    <t>Varubi</t>
  </si>
  <si>
    <t>Romidepsin</t>
  </si>
  <si>
    <t>Istodax</t>
  </si>
  <si>
    <t>Romiplostim</t>
  </si>
  <si>
    <t>Nplate</t>
  </si>
  <si>
    <t>Romosozumab</t>
  </si>
  <si>
    <t>Evenity</t>
  </si>
  <si>
    <t>Ropinirole</t>
  </si>
  <si>
    <t>Requip</t>
  </si>
  <si>
    <t>Ropivacaine</t>
  </si>
  <si>
    <t>Naropin</t>
  </si>
  <si>
    <t>Rosiglitazone</t>
  </si>
  <si>
    <t>Avandia</t>
  </si>
  <si>
    <t>Rosuvastatin</t>
  </si>
  <si>
    <t>Crestor</t>
  </si>
  <si>
    <t>Rotigotine</t>
  </si>
  <si>
    <t>Neupro</t>
  </si>
  <si>
    <t>Royal Jelly</t>
  </si>
  <si>
    <t>Rozanilixizumab</t>
  </si>
  <si>
    <t>Rystiggo</t>
  </si>
  <si>
    <t>Rucaparib</t>
  </si>
  <si>
    <t>Rubraca</t>
  </si>
  <si>
    <t>Rufinamide</t>
  </si>
  <si>
    <t>Banzel</t>
  </si>
  <si>
    <t>Ruxolitinib</t>
  </si>
  <si>
    <t>Jakafi</t>
  </si>
  <si>
    <t>Sacituzumab Govitecan</t>
  </si>
  <si>
    <t>Trodelvy</t>
  </si>
  <si>
    <t>Sacubitril-Valsartan</t>
  </si>
  <si>
    <t>Entreso</t>
  </si>
  <si>
    <t>Heart Failure</t>
  </si>
  <si>
    <t>S-Adenosylmethionine</t>
  </si>
  <si>
    <t>Ultra Balance</t>
  </si>
  <si>
    <t>Safinamide</t>
  </si>
  <si>
    <t>Xadago</t>
  </si>
  <si>
    <t>Parkinson</t>
  </si>
  <si>
    <t>Salbutamol</t>
  </si>
  <si>
    <t>Ventolin</t>
  </si>
  <si>
    <t>Salmeterol</t>
  </si>
  <si>
    <t>Serevent Diskus</t>
  </si>
  <si>
    <t>Salsalate</t>
  </si>
  <si>
    <t>Disalcid</t>
  </si>
  <si>
    <t>Saquinavir</t>
  </si>
  <si>
    <t>Fortovase</t>
  </si>
  <si>
    <t>Sarecycline</t>
  </si>
  <si>
    <t>Seysara</t>
  </si>
  <si>
    <t>Sargramostim</t>
  </si>
  <si>
    <t>Leukine</t>
  </si>
  <si>
    <t>Sarilumab</t>
  </si>
  <si>
    <t>Kevzara</t>
  </si>
  <si>
    <t>Rheumatoid Arthritis</t>
  </si>
  <si>
    <t>SARMS</t>
  </si>
  <si>
    <t>SARMs</t>
  </si>
  <si>
    <t>Selective Androgen Recpt Modulators</t>
  </si>
  <si>
    <t>Muscle building</t>
  </si>
  <si>
    <t>Satralizumab</t>
  </si>
  <si>
    <t>Enspryng</t>
  </si>
  <si>
    <t>Saw Palmetto</t>
  </si>
  <si>
    <t>Saxagliptin</t>
  </si>
  <si>
    <t>Onglyza</t>
  </si>
  <si>
    <t>Alkabel, Hyoscine</t>
  </si>
  <si>
    <t>Sebelipase alfa</t>
  </si>
  <si>
    <t>Kanuma</t>
  </si>
  <si>
    <t>Wolman, LAL deficiency</t>
  </si>
  <si>
    <t>Sebertralstat</t>
  </si>
  <si>
    <t>Ekterly</t>
  </si>
  <si>
    <t>HAE treatment</t>
  </si>
  <si>
    <t>Secnidazole</t>
  </si>
  <si>
    <t>Soloxec</t>
  </si>
  <si>
    <t>Vaginosis</t>
  </si>
  <si>
    <t>Secobarbital</t>
  </si>
  <si>
    <t>Tuinal, seconal</t>
  </si>
  <si>
    <t>Secukinumab</t>
  </si>
  <si>
    <t>Cosentyx</t>
  </si>
  <si>
    <t>Seladelpar</t>
  </si>
  <si>
    <t>Livdelzi</t>
  </si>
  <si>
    <t>Gastroenterology</t>
  </si>
  <si>
    <t>Primary Biliary Cholangitis</t>
  </si>
  <si>
    <t>Selegiline</t>
  </si>
  <si>
    <t>Zelapar</t>
  </si>
  <si>
    <t>Selenium</t>
  </si>
  <si>
    <t>Selexipag</t>
  </si>
  <si>
    <t>Uptravi</t>
  </si>
  <si>
    <t>Selinexor</t>
  </si>
  <si>
    <t>Xpovio</t>
  </si>
  <si>
    <t>Rel/Ref Multiple Myeloma</t>
  </si>
  <si>
    <t>Selpercatinib</t>
  </si>
  <si>
    <t>Retevmo</t>
  </si>
  <si>
    <t>Selperctinib</t>
  </si>
  <si>
    <t>NSCLC, Thyroid: RET</t>
  </si>
  <si>
    <t>Selumetinib</t>
  </si>
  <si>
    <t>Koselugo</t>
  </si>
  <si>
    <t>Semaglutide</t>
  </si>
  <si>
    <t>Ozempic, Wegovy</t>
  </si>
  <si>
    <t>Diabetes, Weight Loss</t>
  </si>
  <si>
    <t>Senna</t>
  </si>
  <si>
    <t>Sepiapterin</t>
  </si>
  <si>
    <t>Sephience</t>
  </si>
  <si>
    <t>PKU</t>
  </si>
  <si>
    <t>Sertraline</t>
  </si>
  <si>
    <t>Zoloft</t>
  </si>
  <si>
    <t>Setmelanotide</t>
  </si>
  <si>
    <t>Imcivree</t>
  </si>
  <si>
    <t>POMC deficiency; obesity</t>
  </si>
  <si>
    <t>Sevabertinib</t>
  </si>
  <si>
    <t>Hyrnuo</t>
  </si>
  <si>
    <t>Sevelamer</t>
  </si>
  <si>
    <t>RenaGel</t>
  </si>
  <si>
    <t>Hyperphosphatemia</t>
  </si>
  <si>
    <t>Sevoflurane</t>
  </si>
  <si>
    <t>Ultane</t>
  </si>
  <si>
    <t>Sho Saiko To</t>
  </si>
  <si>
    <t>Shou Wu Pian</t>
  </si>
  <si>
    <t>Sibeprenlimab</t>
  </si>
  <si>
    <t>Voyxact</t>
  </si>
  <si>
    <t>Renal</t>
  </si>
  <si>
    <t>IgA Nephropathy</t>
  </si>
  <si>
    <t>Sibutramine</t>
  </si>
  <si>
    <t>Meridia</t>
  </si>
  <si>
    <t>Sildenafil</t>
  </si>
  <si>
    <t>Viagra</t>
  </si>
  <si>
    <t>Silicon</t>
  </si>
  <si>
    <t>Silodosin</t>
  </si>
  <si>
    <t>Rapaflo</t>
  </si>
  <si>
    <t>Siltuximab</t>
  </si>
  <si>
    <t>Sylvant</t>
  </si>
  <si>
    <t>Castleman disease</t>
  </si>
  <si>
    <t>Simeprevir</t>
  </si>
  <si>
    <t>Olysio</t>
  </si>
  <si>
    <t>Simethicone</t>
  </si>
  <si>
    <t>Gas-X</t>
  </si>
  <si>
    <t>Simvastatin</t>
  </si>
  <si>
    <t>Zocor</t>
  </si>
  <si>
    <t>Siponimod</t>
  </si>
  <si>
    <t>Mayzent</t>
  </si>
  <si>
    <t>Sirolimus</t>
  </si>
  <si>
    <t>Rapamune</t>
  </si>
  <si>
    <t>Sitagliptin</t>
  </si>
  <si>
    <t>Januvia</t>
  </si>
  <si>
    <t>Skullcap</t>
  </si>
  <si>
    <t>Slimquick</t>
  </si>
  <si>
    <t>SLIMQUICK</t>
  </si>
  <si>
    <t>Slippery elm</t>
  </si>
  <si>
    <t>Ulmus rubra</t>
  </si>
  <si>
    <t>Slippery Elm</t>
  </si>
  <si>
    <t>Muscilage, GI upset</t>
  </si>
  <si>
    <t>Sodium Benzoate</t>
  </si>
  <si>
    <t>Phenylbutyrate, Sodium Benz.</t>
  </si>
  <si>
    <t>Sovaldi</t>
  </si>
  <si>
    <t>Solifenacin</t>
  </si>
  <si>
    <t>Vesicare</t>
  </si>
  <si>
    <t>Solriamfetol</t>
  </si>
  <si>
    <t>Sunosi</t>
  </si>
  <si>
    <t>Nacrolepsy, sleepiness</t>
  </si>
  <si>
    <t>Somapacitan</t>
  </si>
  <si>
    <t>Sogroya</t>
  </si>
  <si>
    <t>Somapacian</t>
  </si>
  <si>
    <t>Somatrogon</t>
  </si>
  <si>
    <t>Ngenla</t>
  </si>
  <si>
    <t>Growth failure, deficiency in GH</t>
  </si>
  <si>
    <t>Sonidegib</t>
  </si>
  <si>
    <t>Odomzo</t>
  </si>
  <si>
    <t>Basal cell cancer</t>
  </si>
  <si>
    <t>Sorafenib</t>
  </si>
  <si>
    <t>Nexavar</t>
  </si>
  <si>
    <t>Sotaglifloxin</t>
  </si>
  <si>
    <t>Inpefa</t>
  </si>
  <si>
    <t>Sotalol</t>
  </si>
  <si>
    <t>Betapace</t>
  </si>
  <si>
    <t>Sotatercept</t>
  </si>
  <si>
    <t>Winrevair</t>
  </si>
  <si>
    <t>Sotorasib</t>
  </si>
  <si>
    <t>Lumakras</t>
  </si>
  <si>
    <t xml:space="preserve">Cholangiocarcinoma </t>
  </si>
  <si>
    <t>Sotrovimab</t>
  </si>
  <si>
    <t>VIR-7831</t>
  </si>
  <si>
    <t>Sparsentan</t>
  </si>
  <si>
    <t>Filspari</t>
  </si>
  <si>
    <t>Spesolimab</t>
  </si>
  <si>
    <t>Spevigo</t>
  </si>
  <si>
    <t>Pustular psoriasis flares</t>
  </si>
  <si>
    <t>Spironolactone</t>
  </si>
  <si>
    <t>Spiretic</t>
  </si>
  <si>
    <t>Spirulina</t>
  </si>
  <si>
    <t>Nutrition</t>
  </si>
  <si>
    <t>St John's Wort</t>
  </si>
  <si>
    <t>Stanozolol</t>
  </si>
  <si>
    <t>Winstrol</t>
  </si>
  <si>
    <t>Stavudine</t>
  </si>
  <si>
    <t>Zerit</t>
  </si>
  <si>
    <t>Stenabolic</t>
  </si>
  <si>
    <t>AR9009</t>
  </si>
  <si>
    <t>Stinging Nettle</t>
  </si>
  <si>
    <t>Urtica diocica</t>
  </si>
  <si>
    <t>Stiripentol</t>
  </si>
  <si>
    <t>Diacomit</t>
  </si>
  <si>
    <t>Hereditary Amyloidosis, neuropathy</t>
  </si>
  <si>
    <t>Streptomycin</t>
  </si>
  <si>
    <t>Streptozocin</t>
  </si>
  <si>
    <t>Zanosar</t>
  </si>
  <si>
    <t>Islet cell cancer</t>
  </si>
  <si>
    <t>Succimer</t>
  </si>
  <si>
    <t>Chemet</t>
  </si>
  <si>
    <t>Heavy metal poisoning</t>
  </si>
  <si>
    <t>Sucralfate</t>
  </si>
  <si>
    <t>Carafate</t>
  </si>
  <si>
    <t>Antiulcer Agents</t>
  </si>
  <si>
    <t>Sufentanil</t>
  </si>
  <si>
    <t>Sufenta</t>
  </si>
  <si>
    <t>Sulbactam</t>
  </si>
  <si>
    <t>Unasyn</t>
  </si>
  <si>
    <t>Ampicillin-Sulbactam</t>
  </si>
  <si>
    <t>Sulfadiazine</t>
  </si>
  <si>
    <t>Uniprim</t>
  </si>
  <si>
    <t>Sulfadoxine</t>
  </si>
  <si>
    <t>Fansidar</t>
  </si>
  <si>
    <t>Sulfamerazine</t>
  </si>
  <si>
    <t xml:space="preserve">Triple Sulfa </t>
  </si>
  <si>
    <t>Sulfonamides</t>
  </si>
  <si>
    <t>Sulfamethazine</t>
  </si>
  <si>
    <t>Sustain</t>
  </si>
  <si>
    <t>Sulfamethizole</t>
  </si>
  <si>
    <t>Thiosulfil Forte</t>
  </si>
  <si>
    <t>Sulfamethoxazole</t>
  </si>
  <si>
    <t>Septra, Bactrim</t>
  </si>
  <si>
    <t>Sulfasalazine</t>
  </si>
  <si>
    <t>Ucine</t>
  </si>
  <si>
    <t>Sulfinpyrazone</t>
  </si>
  <si>
    <t>Anturane</t>
  </si>
  <si>
    <t>Sulfisoxazole</t>
  </si>
  <si>
    <t xml:space="preserve">Gantrisin </t>
  </si>
  <si>
    <t>Sulindac</t>
  </si>
  <si>
    <t>Clinoril</t>
  </si>
  <si>
    <t>Sulopenem Etzadroxil</t>
  </si>
  <si>
    <t>Orlynvah</t>
  </si>
  <si>
    <t>Urinary tract infections</t>
  </si>
  <si>
    <t>Sumatriptan</t>
  </si>
  <si>
    <t>Treximet</t>
  </si>
  <si>
    <t>Sunitinib</t>
  </si>
  <si>
    <t>Sutent</t>
  </si>
  <si>
    <t>Sutimlimab</t>
  </si>
  <si>
    <t>Enjaymo</t>
  </si>
  <si>
    <t xml:space="preserve">Cold agglutinin disease </t>
  </si>
  <si>
    <t>Suvorexant</t>
  </si>
  <si>
    <t>Belsomra</t>
  </si>
  <si>
    <t>Suzetrigine</t>
  </si>
  <si>
    <t>Journavx</t>
  </si>
  <si>
    <t>Pain</t>
  </si>
  <si>
    <t>Mod-Severe Pain</t>
  </si>
  <si>
    <t>Tacrine</t>
  </si>
  <si>
    <t>Cognex</t>
  </si>
  <si>
    <t>Tacrolimus</t>
  </si>
  <si>
    <t>Prograf</t>
  </si>
  <si>
    <t>Tadalafil</t>
  </si>
  <si>
    <t>Cialis</t>
  </si>
  <si>
    <t>Tafamidis</t>
  </si>
  <si>
    <t>Vyndamax</t>
  </si>
  <si>
    <t>Cardiomyopathy Amyloidois</t>
  </si>
  <si>
    <t>Tafasitamab</t>
  </si>
  <si>
    <t>Mojari</t>
  </si>
  <si>
    <t>Tafenoquine</t>
  </si>
  <si>
    <t>Krintafel</t>
  </si>
  <si>
    <t>Tagraxofusp</t>
  </si>
  <si>
    <t>Elzonris</t>
  </si>
  <si>
    <t>Blastic plasmadentri</t>
  </si>
  <si>
    <t>Talazoparib</t>
  </si>
  <si>
    <t>Talzenna</t>
  </si>
  <si>
    <t>Breast Cancer, HER2-</t>
  </si>
  <si>
    <t>Taletrectinib adipate</t>
  </si>
  <si>
    <t>Ibtrozi</t>
  </si>
  <si>
    <t>NSCLC with ROS1 rearrang</t>
  </si>
  <si>
    <t>Taliglucerase</t>
  </si>
  <si>
    <t>Elelyso</t>
  </si>
  <si>
    <t>Talquetamab</t>
  </si>
  <si>
    <t>Talvey</t>
  </si>
  <si>
    <t>Tamoxifen</t>
  </si>
  <si>
    <t>Nolvadex</t>
  </si>
  <si>
    <t>Tamsulosin</t>
  </si>
  <si>
    <t>Flomax</t>
  </si>
  <si>
    <t>Tapentadol</t>
  </si>
  <si>
    <t>Nucynta</t>
  </si>
  <si>
    <t>Tara Flour</t>
  </si>
  <si>
    <r>
      <t>Caesalpina spinosa</t>
    </r>
    <r>
      <rPr>
        <sz val="9"/>
        <color theme="1"/>
        <rFont val="Arial"/>
        <family val="2"/>
      </rPr>
      <t xml:space="preserve"> </t>
    </r>
  </si>
  <si>
    <t>Tara flour</t>
  </si>
  <si>
    <t>Food</t>
  </si>
  <si>
    <t>Tarlatamab</t>
  </si>
  <si>
    <t>Imdelltra</t>
  </si>
  <si>
    <t>SCLC, extensive advanced</t>
  </si>
  <si>
    <t>Tasimelteon</t>
  </si>
  <si>
    <t>Hetlioz</t>
  </si>
  <si>
    <t>Tazemetostat</t>
  </si>
  <si>
    <t>Dojolvi</t>
  </si>
  <si>
    <t>Lymphoma, Sarcoma</t>
  </si>
  <si>
    <t>Tazobactam</t>
  </si>
  <si>
    <t>Piperacillin-Tazobactam</t>
  </si>
  <si>
    <t>Tebentafusp</t>
  </si>
  <si>
    <t>Kimmtrak</t>
  </si>
  <si>
    <t>Teclisumab</t>
  </si>
  <si>
    <t>Tacvayli</t>
  </si>
  <si>
    <t xml:space="preserve">Multiple myeloma </t>
  </si>
  <si>
    <t>Tecovirimat</t>
  </si>
  <si>
    <t>TPOXX</t>
  </si>
  <si>
    <t>Tedizolid</t>
  </si>
  <si>
    <t>Sivextro</t>
  </si>
  <si>
    <t>Tegaserod</t>
  </si>
  <si>
    <t>Zeinorm</t>
  </si>
  <si>
    <t>Serotonin 5-HT4 Rcpt Agonists</t>
  </si>
  <si>
    <t>Telaprevir</t>
  </si>
  <si>
    <t>Incivek</t>
  </si>
  <si>
    <t>Telavancin</t>
  </si>
  <si>
    <t>Vibativ</t>
  </si>
  <si>
    <t>Telbivudine</t>
  </si>
  <si>
    <t>Tyzeka</t>
  </si>
  <si>
    <t>Telisotuzumab Vedotin</t>
  </si>
  <si>
    <t>Emrelis</t>
  </si>
  <si>
    <t>NSCLC with high cMet</t>
  </si>
  <si>
    <t>Telithromycin</t>
  </si>
  <si>
    <t>Ketek</t>
  </si>
  <si>
    <t>Telmisartan</t>
  </si>
  <si>
    <t>Micardis</t>
  </si>
  <si>
    <t>Telotristat</t>
  </si>
  <si>
    <t>Xermelo</t>
  </si>
  <si>
    <t>Diarrhea from Carcinoid</t>
  </si>
  <si>
    <t>Temazepam</t>
  </si>
  <si>
    <t>Restoril</t>
  </si>
  <si>
    <t>Temozolomide</t>
  </si>
  <si>
    <t>Temodar</t>
  </si>
  <si>
    <t>Brain cancer</t>
  </si>
  <si>
    <t>Temsirolimus</t>
  </si>
  <si>
    <t>Torisel</t>
  </si>
  <si>
    <t>Tenapanor</t>
  </si>
  <si>
    <t>Ibsrela</t>
  </si>
  <si>
    <t>IBS-constipation</t>
  </si>
  <si>
    <t>Teniposide</t>
  </si>
  <si>
    <t>Vumon</t>
  </si>
  <si>
    <t xml:space="preserve">Tenofovir </t>
  </si>
  <si>
    <t>Viread</t>
  </si>
  <si>
    <t>Teplizumab</t>
  </si>
  <si>
    <t>Tzield</t>
  </si>
  <si>
    <t>Type 1 diabetes, stage 2</t>
  </si>
  <si>
    <t>Tepotiib</t>
  </si>
  <si>
    <t>Tepmetko</t>
  </si>
  <si>
    <t>Teprotumumab</t>
  </si>
  <si>
    <t>Tepezza</t>
  </si>
  <si>
    <t>Thyroid eye disease</t>
  </si>
  <si>
    <t>Terazosin</t>
  </si>
  <si>
    <t>Hytrin</t>
  </si>
  <si>
    <t>Terbinafine</t>
  </si>
  <si>
    <t>Lamisil</t>
  </si>
  <si>
    <t>Terbutaline</t>
  </si>
  <si>
    <t>Brethaire</t>
  </si>
  <si>
    <t>Teriflunomide</t>
  </si>
  <si>
    <t>Aubagio</t>
  </si>
  <si>
    <t>Teriparatide</t>
  </si>
  <si>
    <t>Forteo</t>
  </si>
  <si>
    <t>Terlipressin</t>
  </si>
  <si>
    <t>Terlivaz</t>
  </si>
  <si>
    <t>Renal dysfunction in Liver Failure</t>
  </si>
  <si>
    <t>Terodiline</t>
  </si>
  <si>
    <t>Micturin</t>
  </si>
  <si>
    <t>Anticholinergic Agent</t>
  </si>
  <si>
    <t>Tesamorelin</t>
  </si>
  <si>
    <t>Egrifta</t>
  </si>
  <si>
    <t>Lipodystrophy</t>
  </si>
  <si>
    <t>Testolactone</t>
  </si>
  <si>
    <t>Teslac</t>
  </si>
  <si>
    <t>Testosterone</t>
  </si>
  <si>
    <t>Virormone</t>
  </si>
  <si>
    <t>Tetrabenazine</t>
  </si>
  <si>
    <t>Xenazine</t>
  </si>
  <si>
    <t>Chorea</t>
  </si>
  <si>
    <t>Economycin</t>
  </si>
  <si>
    <t>Tezacaftor</t>
  </si>
  <si>
    <t>Symdeko, Trikafta, Alyftrek</t>
  </si>
  <si>
    <t>Tezepelumab</t>
  </si>
  <si>
    <t>Tezspire</t>
  </si>
  <si>
    <t>Thalidomide</t>
  </si>
  <si>
    <t>Thalomid</t>
  </si>
  <si>
    <t>Theophylline</t>
  </si>
  <si>
    <t>Tedrigen</t>
  </si>
  <si>
    <t>Thiabendazole</t>
  </si>
  <si>
    <t>Mintezol</t>
  </si>
  <si>
    <t>Thiamine</t>
  </si>
  <si>
    <t>Benerva</t>
  </si>
  <si>
    <t>Thioguanine</t>
  </si>
  <si>
    <t>Tabloid</t>
  </si>
  <si>
    <t>Thiopental</t>
  </si>
  <si>
    <t>Pentothal</t>
  </si>
  <si>
    <t>Anesthetics, General</t>
  </si>
  <si>
    <t>Thioridazine</t>
  </si>
  <si>
    <t>Rideril</t>
  </si>
  <si>
    <t>Thiotepa</t>
  </si>
  <si>
    <t>Thioplex</t>
  </si>
  <si>
    <t>Thiothixene</t>
  </si>
  <si>
    <t>Navane</t>
  </si>
  <si>
    <t>Armour Thyroid</t>
  </si>
  <si>
    <t>Thyroxine</t>
  </si>
  <si>
    <t>Tiagabine</t>
  </si>
  <si>
    <t>Gabitril</t>
  </si>
  <si>
    <t>Tibolone</t>
  </si>
  <si>
    <t>Livial</t>
  </si>
  <si>
    <t>Ticagrelor</t>
  </si>
  <si>
    <t>Brilinta</t>
  </si>
  <si>
    <t>Ticarcillin</t>
  </si>
  <si>
    <t>Ticar</t>
  </si>
  <si>
    <t>Ticarcillin/Clavulanate</t>
  </si>
  <si>
    <t>Timentin</t>
  </si>
  <si>
    <t>Ticlopidine</t>
  </si>
  <si>
    <t>Ticlid</t>
  </si>
  <si>
    <t>Tigecycline</t>
  </si>
  <si>
    <t>Tygacil</t>
  </si>
  <si>
    <t>Tildrakizumab</t>
  </si>
  <si>
    <t>Ilumya</t>
  </si>
  <si>
    <t>Psoriasis, plaque</t>
  </si>
  <si>
    <t>Tiludronate</t>
  </si>
  <si>
    <t>Skelid</t>
  </si>
  <si>
    <t>Timolol</t>
  </si>
  <si>
    <t>Timoptol</t>
  </si>
  <si>
    <t>Tin</t>
  </si>
  <si>
    <t>Heavy Metal</t>
  </si>
  <si>
    <t>Tinidazole</t>
  </si>
  <si>
    <t>Tindamax</t>
  </si>
  <si>
    <t>Tinospora</t>
  </si>
  <si>
    <t>Tinospora cordifolia</t>
  </si>
  <si>
    <t>Immune Boosting</t>
  </si>
  <si>
    <t>Tinzaparin</t>
  </si>
  <si>
    <t>Innohep</t>
  </si>
  <si>
    <t>Tiotropium</t>
  </si>
  <si>
    <t>Spiriva</t>
  </si>
  <si>
    <t>Tipranavir</t>
  </si>
  <si>
    <t>Aptivus</t>
  </si>
  <si>
    <t>Tirofiban</t>
  </si>
  <si>
    <t>Aggrastat</t>
  </si>
  <si>
    <t>Tirzepatide</t>
  </si>
  <si>
    <t>Mounjaro, Zepbound</t>
  </si>
  <si>
    <t>Diabetes,Weight Loss</t>
  </si>
  <si>
    <t>Tislelizumab</t>
  </si>
  <si>
    <t>Tevimbra</t>
  </si>
  <si>
    <t>Gastric or esophageal CA</t>
  </si>
  <si>
    <t>Tisotumab Vedotin</t>
  </si>
  <si>
    <t>Tivdak</t>
  </si>
  <si>
    <t>Cervical Cancer</t>
  </si>
  <si>
    <t>Tivozanib</t>
  </si>
  <si>
    <t>Fotivda</t>
  </si>
  <si>
    <t>Renal cell carcinoma</t>
  </si>
  <si>
    <t>Tizanidine</t>
  </si>
  <si>
    <t>Zanaflex</t>
  </si>
  <si>
    <t>Tobramycin</t>
  </si>
  <si>
    <t>Zylet</t>
  </si>
  <si>
    <t>Tocilizumab</t>
  </si>
  <si>
    <t>Actemra</t>
  </si>
  <si>
    <t>Tofacitinib</t>
  </si>
  <si>
    <t>Xeljanz</t>
  </si>
  <si>
    <t>Tofersen</t>
  </si>
  <si>
    <t>Qalsody</t>
  </si>
  <si>
    <t>Amylotrophic Lateral Sclerosis</t>
  </si>
  <si>
    <t>Tolazamide</t>
  </si>
  <si>
    <t>Tolinase</t>
  </si>
  <si>
    <t>Tolbutamide</t>
  </si>
  <si>
    <t>Orinase</t>
  </si>
  <si>
    <t>Tolcapone</t>
  </si>
  <si>
    <t>Tasmar</t>
  </si>
  <si>
    <t>Tolmetin</t>
  </si>
  <si>
    <t>Tolectin</t>
  </si>
  <si>
    <t>Tolterodine</t>
  </si>
  <si>
    <t>Detrol</t>
  </si>
  <si>
    <t>Tolvaptan</t>
  </si>
  <si>
    <t>Samsca</t>
  </si>
  <si>
    <t>Hyponatremia</t>
  </si>
  <si>
    <t>Tongkat Ali</t>
  </si>
  <si>
    <t>Long Jack</t>
  </si>
  <si>
    <t>Tongkat ali</t>
  </si>
  <si>
    <t>Low Testosterone</t>
  </si>
  <si>
    <t>Topiramate</t>
  </si>
  <si>
    <t>Topamax</t>
  </si>
  <si>
    <t>Topotecan</t>
  </si>
  <si>
    <t>Hycamtin</t>
  </si>
  <si>
    <t>Toremifene</t>
  </si>
  <si>
    <t>Fareston</t>
  </si>
  <si>
    <t>Torsemide</t>
  </si>
  <si>
    <t>Demadex</t>
  </si>
  <si>
    <t>Tositumomab</t>
  </si>
  <si>
    <t>Bexxar</t>
  </si>
  <si>
    <t>Tovorafenib</t>
  </si>
  <si>
    <t>Ojemda</t>
  </si>
  <si>
    <t>Glioma, low grade</t>
  </si>
  <si>
    <t>Trabectedin</t>
  </si>
  <si>
    <t>Yondelis</t>
  </si>
  <si>
    <t>Soft Tissue Sarcoma</t>
  </si>
  <si>
    <t>Tralokinumab</t>
  </si>
  <si>
    <t>Adbry</t>
  </si>
  <si>
    <t>Tramadol</t>
  </si>
  <si>
    <t>Rybix</t>
  </si>
  <si>
    <t>Trametinib</t>
  </si>
  <si>
    <t>Mekinist</t>
  </si>
  <si>
    <t>Trandolapril</t>
  </si>
  <si>
    <t>Mavik</t>
  </si>
  <si>
    <t>Tranexamic Acid</t>
  </si>
  <si>
    <t>Cyklokapron</t>
  </si>
  <si>
    <t>Antifibrinolytic</t>
  </si>
  <si>
    <t>Tranylcypromine</t>
  </si>
  <si>
    <t>Parnate</t>
  </si>
  <si>
    <t>Trastuzumab</t>
  </si>
  <si>
    <t>Herceptin</t>
  </si>
  <si>
    <t>Trastuzumab </t>
  </si>
  <si>
    <t>Trastuzumab deruxtecan</t>
  </si>
  <si>
    <t>Enhertu</t>
  </si>
  <si>
    <t>Trastuzumab Deruxtecan</t>
  </si>
  <si>
    <t>Breast, Gastric, Lung HER2+</t>
  </si>
  <si>
    <t>Trastuzumab emtansine</t>
  </si>
  <si>
    <t>Kadcyla</t>
  </si>
  <si>
    <t>Breast Cancer: HER2</t>
  </si>
  <si>
    <t>Trazodone</t>
  </si>
  <si>
    <t>Desyrel</t>
  </si>
  <si>
    <t>Tremelimumab</t>
  </si>
  <si>
    <t>Lytogobi</t>
  </si>
  <si>
    <t>HCC</t>
  </si>
  <si>
    <t>Treosulfan</t>
  </si>
  <si>
    <t>Grafapex</t>
  </si>
  <si>
    <t>Conditioning HSCT</t>
  </si>
  <si>
    <t>Treprostinil</t>
  </si>
  <si>
    <t>Tyvaso</t>
  </si>
  <si>
    <t>Tretinoin</t>
  </si>
  <si>
    <t>Retin-A</t>
  </si>
  <si>
    <t>Triamcinolone</t>
  </si>
  <si>
    <t>Zytopic</t>
  </si>
  <si>
    <t>Triamterene</t>
  </si>
  <si>
    <t>Dyazide</t>
  </si>
  <si>
    <t>Triazolam</t>
  </si>
  <si>
    <t>Halcion</t>
  </si>
  <si>
    <t>Tribulus terrestris</t>
  </si>
  <si>
    <t>Triclabendazole</t>
  </si>
  <si>
    <t>Egaten</t>
  </si>
  <si>
    <t>Fascioliasis</t>
  </si>
  <si>
    <t>Trientine</t>
  </si>
  <si>
    <t>Syprine</t>
  </si>
  <si>
    <t>Trifluoperazine</t>
  </si>
  <si>
    <t>Stelazine</t>
  </si>
  <si>
    <t>Trifluridine/Tipiracil</t>
  </si>
  <si>
    <t>Lonsurf</t>
  </si>
  <si>
    <t>Triheptanoin</t>
  </si>
  <si>
    <t>Tazverik</t>
  </si>
  <si>
    <t>Long chain FA oxidative def</t>
  </si>
  <si>
    <t>Trihexyphenidyl</t>
  </si>
  <si>
    <t>Artane</t>
  </si>
  <si>
    <t>Triiodothyronine</t>
  </si>
  <si>
    <t>Trilaciclib</t>
  </si>
  <si>
    <t>Cosela</t>
  </si>
  <si>
    <t>Cancer chemotherapy</t>
  </si>
  <si>
    <t>Trimethobenzamide</t>
  </si>
  <si>
    <t>Tigan</t>
  </si>
  <si>
    <t>Trimethoprim</t>
  </si>
  <si>
    <t>Trimpex</t>
  </si>
  <si>
    <t>Sulfamethoxazole-Trimethoprim</t>
  </si>
  <si>
    <t>Trimetrexate</t>
  </si>
  <si>
    <t>Neutrexin</t>
  </si>
  <si>
    <t>Trimipramine</t>
  </si>
  <si>
    <t>Surmontil</t>
  </si>
  <si>
    <t>Triprolidine</t>
  </si>
  <si>
    <t>Triafed</t>
  </si>
  <si>
    <t>Triptorelin</t>
  </si>
  <si>
    <t>Trelstar</t>
  </si>
  <si>
    <t>Trilisate</t>
  </si>
  <si>
    <t>Trofinetide</t>
  </si>
  <si>
    <t>Daybue</t>
  </si>
  <si>
    <t>Rett Syndrome</t>
  </si>
  <si>
    <t>Troglitazone</t>
  </si>
  <si>
    <t>Rezulin</t>
  </si>
  <si>
    <t>Trospium</t>
  </si>
  <si>
    <t>Sanctura</t>
  </si>
  <si>
    <t>Trospium Chloride</t>
  </si>
  <si>
    <t>Cobenfy</t>
  </si>
  <si>
    <t>Schizophrenia</t>
  </si>
  <si>
    <t>Tucatinib</t>
  </si>
  <si>
    <t>Tukysa</t>
  </si>
  <si>
    <t>Turmeric</t>
  </si>
  <si>
    <t>Curcumin</t>
  </si>
  <si>
    <t>Digestive symptoms</t>
  </si>
  <si>
    <t>Ublituximab</t>
  </si>
  <si>
    <t>Briumvi</t>
  </si>
  <si>
    <t>Multiple Sclerosis</t>
  </si>
  <si>
    <t>Ubrogepant</t>
  </si>
  <si>
    <t>Ubrelvy</t>
  </si>
  <si>
    <t>Ulipristal</t>
  </si>
  <si>
    <t>Ella</t>
  </si>
  <si>
    <t>Emergency Contraceptive Agents</t>
  </si>
  <si>
    <t>Umbralisib</t>
  </si>
  <si>
    <t>Ukoniq</t>
  </si>
  <si>
    <t>Upadacitinib</t>
  </si>
  <si>
    <t>Rinvoz</t>
  </si>
  <si>
    <t>RA, moderate severe, refract</t>
  </si>
  <si>
    <t>Ursodiol</t>
  </si>
  <si>
    <t>Actigall</t>
  </si>
  <si>
    <t>Lipokinetix</t>
  </si>
  <si>
    <t>Ustekinumab</t>
  </si>
  <si>
    <t>Stelara</t>
  </si>
  <si>
    <t>Uva-ursi</t>
  </si>
  <si>
    <t>Vaborbactam</t>
  </si>
  <si>
    <t>Vabomere</t>
  </si>
  <si>
    <t>Pharmacologic Enhancer</t>
  </si>
  <si>
    <t>Vadadustat</t>
  </si>
  <si>
    <t>Vafseo</t>
  </si>
  <si>
    <t>Anemia of renal disease</t>
  </si>
  <si>
    <t>Valacyclovir</t>
  </si>
  <si>
    <t>Valtrex</t>
  </si>
  <si>
    <t>Valbenazine</t>
  </si>
  <si>
    <t>Ingrezza</t>
  </si>
  <si>
    <t>Tardive Dyskinesia</t>
  </si>
  <si>
    <t>Valerian</t>
  </si>
  <si>
    <t>Serenus</t>
  </si>
  <si>
    <t>Valganciclovir</t>
  </si>
  <si>
    <t>Valcyte</t>
  </si>
  <si>
    <t>Valproate</t>
  </si>
  <si>
    <t>Depakote, depacon</t>
  </si>
  <si>
    <t>Valrubicin</t>
  </si>
  <si>
    <t>Valstar</t>
  </si>
  <si>
    <t>Valsartan</t>
  </si>
  <si>
    <t>Diovan</t>
  </si>
  <si>
    <t>Vanadium</t>
  </si>
  <si>
    <t>Vancomycin</t>
  </si>
  <si>
    <t>Lyphocin</t>
  </si>
  <si>
    <t>Vandetanib</t>
  </si>
  <si>
    <t>Caprelsa</t>
  </si>
  <si>
    <t>Vanzacaftor</t>
  </si>
  <si>
    <t>Vardenafil</t>
  </si>
  <si>
    <t>Levitra</t>
  </si>
  <si>
    <t>Varenicline</t>
  </si>
  <si>
    <t>Chantix</t>
  </si>
  <si>
    <t>Vedolizumab</t>
  </si>
  <si>
    <t>Entyvio</t>
  </si>
  <si>
    <t>Velaglucerase</t>
  </si>
  <si>
    <t>Vpriv</t>
  </si>
  <si>
    <t>Velpatasvir</t>
  </si>
  <si>
    <t>Epclusa</t>
  </si>
  <si>
    <t>Vemurafenib</t>
  </si>
  <si>
    <t>Zelboraf</t>
  </si>
  <si>
    <t>Venetoclax</t>
  </si>
  <si>
    <t>Venclexa</t>
  </si>
  <si>
    <t>Venlafaxine</t>
  </si>
  <si>
    <t>Effexor</t>
  </si>
  <si>
    <t>Verapamil</t>
  </si>
  <si>
    <t>Isoptin</t>
  </si>
  <si>
    <t>Vericiguat</t>
  </si>
  <si>
    <t>Verquovo</t>
  </si>
  <si>
    <t>Vestronidase alfa</t>
  </si>
  <si>
    <t>Mepsevii</t>
  </si>
  <si>
    <t>MPS VII, Sly syndrome</t>
  </si>
  <si>
    <t>Vibegron</t>
  </si>
  <si>
    <t>Gemtesa</t>
  </si>
  <si>
    <t>Overactive bladder</t>
  </si>
  <si>
    <t>Vigabatrin</t>
  </si>
  <si>
    <t>Sabril</t>
  </si>
  <si>
    <t>Vilazodone</t>
  </si>
  <si>
    <t>Viibryd</t>
  </si>
  <si>
    <t>Viltolarsen</t>
  </si>
  <si>
    <t>Viltepso</t>
  </si>
  <si>
    <t>Duchene's Muscular Dystrophy</t>
  </si>
  <si>
    <t>Vimseltinib</t>
  </si>
  <si>
    <t>Romvimza</t>
  </si>
  <si>
    <t>Cancer</t>
  </si>
  <si>
    <t>Tenosynovial Giant Cell Tumor</t>
  </si>
  <si>
    <t>Vinblastine</t>
  </si>
  <si>
    <t>Velban</t>
  </si>
  <si>
    <t>Vinca Alkaloids</t>
  </si>
  <si>
    <t>Vincristine</t>
  </si>
  <si>
    <t>Oncovin</t>
  </si>
  <si>
    <t>Vinorelbine</t>
  </si>
  <si>
    <t>Navelbine</t>
  </si>
  <si>
    <t>Vismodegib</t>
  </si>
  <si>
    <t>Erivedge</t>
  </si>
  <si>
    <t>Citrical plus D</t>
  </si>
  <si>
    <t>Vita-Plus E</t>
  </si>
  <si>
    <t>Aquamephyton</t>
  </si>
  <si>
    <t>Vonoprazan</t>
  </si>
  <si>
    <t>Voquezna</t>
  </si>
  <si>
    <t>Helicobacter pylori</t>
  </si>
  <si>
    <t>Vorapaxar</t>
  </si>
  <si>
    <t>Zontivity</t>
  </si>
  <si>
    <t>Vorasidenib</t>
  </si>
  <si>
    <t>Voranigo</t>
  </si>
  <si>
    <t>Astro or oligodendroglioma</t>
  </si>
  <si>
    <t>Voriconazole</t>
  </si>
  <si>
    <t>Vfend</t>
  </si>
  <si>
    <t>Vorinostat</t>
  </si>
  <si>
    <t>Zolinza</t>
  </si>
  <si>
    <t>Vortioxetine</t>
  </si>
  <si>
    <t>Brintellix</t>
  </si>
  <si>
    <t>Vosilasarm</t>
  </si>
  <si>
    <t>Rad-140</t>
  </si>
  <si>
    <t>Vosoritide</t>
  </si>
  <si>
    <t>Voxzogo</t>
  </si>
  <si>
    <t>Achondroplasia</t>
  </si>
  <si>
    <t>Voxelotor</t>
  </si>
  <si>
    <t>Oxbryta</t>
  </si>
  <si>
    <t>Voxilaprevir</t>
  </si>
  <si>
    <t>Vosevi</t>
  </si>
  <si>
    <t>Vutrisiran</t>
  </si>
  <si>
    <t>Amvuttra</t>
  </si>
  <si>
    <t>Warfarin</t>
  </si>
  <si>
    <t>Coumadin</t>
  </si>
  <si>
    <t>Yerba Mate</t>
  </si>
  <si>
    <t xml:space="preserve">Ilex paraguariensis </t>
  </si>
  <si>
    <t>YK-11</t>
  </si>
  <si>
    <t>Yohimbe</t>
  </si>
  <si>
    <t>Actibine</t>
  </si>
  <si>
    <t>Zafirlukast</t>
  </si>
  <si>
    <t>Accolate</t>
  </si>
  <si>
    <t>Zalcitabine</t>
  </si>
  <si>
    <t>Hivid</t>
  </si>
  <si>
    <t>Zaleplon</t>
  </si>
  <si>
    <t>Sonata</t>
  </si>
  <si>
    <t>Zanamivir</t>
  </si>
  <si>
    <t>Relenza</t>
  </si>
  <si>
    <t>Zanidatamab</t>
  </si>
  <si>
    <t>Ziihera</t>
  </si>
  <si>
    <t>Biliary Tract Cancer</t>
  </si>
  <si>
    <t>Zanubrutinib</t>
  </si>
  <si>
    <t>Brukinsa</t>
  </si>
  <si>
    <t>Mantle Cell Lymphoma</t>
  </si>
  <si>
    <t>Zavegepant</t>
  </si>
  <si>
    <t>Zavzpret</t>
  </si>
  <si>
    <t>Acute migraine</t>
  </si>
  <si>
    <t>Zenocutuzumab</t>
  </si>
  <si>
    <t>Bizengri</t>
  </si>
  <si>
    <t>NSCLS</t>
  </si>
  <si>
    <t>Zidovudine</t>
  </si>
  <si>
    <t>Retrovir</t>
  </si>
  <si>
    <t>Ziftomenib</t>
  </si>
  <si>
    <t>Komzifti</t>
  </si>
  <si>
    <t>Zileuton</t>
  </si>
  <si>
    <t>Zyflo</t>
  </si>
  <si>
    <t>Zilucoplan</t>
  </si>
  <si>
    <t>Zilbrysq</t>
  </si>
  <si>
    <t xml:space="preserve">Zinc </t>
  </si>
  <si>
    <t>Zinotic</t>
  </si>
  <si>
    <t>Ziprasidone</t>
  </si>
  <si>
    <t>Geodon</t>
  </si>
  <si>
    <t>Zolbetuximab</t>
  </si>
  <si>
    <t>Vyloy</t>
  </si>
  <si>
    <t>Gastric or GE Junction Carcinoma</t>
  </si>
  <si>
    <t>Zoledronic acid</t>
  </si>
  <si>
    <t>Reclast</t>
  </si>
  <si>
    <t>Zoliflodacin</t>
  </si>
  <si>
    <t>Nuzolvence</t>
  </si>
  <si>
    <t>Urogenital gonorrhea</t>
  </si>
  <si>
    <t>Zolmitriptan</t>
  </si>
  <si>
    <t>Zomig</t>
  </si>
  <si>
    <t>Zolpidem</t>
  </si>
  <si>
    <t>Ambien</t>
  </si>
  <si>
    <t>Zongertinib</t>
  </si>
  <si>
    <t>Hernexeos</t>
  </si>
  <si>
    <t>Zonisamide</t>
  </si>
  <si>
    <t>Zonegran</t>
  </si>
  <si>
    <t>1=Yes</t>
  </si>
  <si>
    <t>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</si>
</sst>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0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" fontId="2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6" fillId="0" borderId="4" xfId="0" applyFont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0" xfId="0" applyFont="1"/>
    <xf numFmtId="1" fontId="8" fillId="0" borderId="4" xfId="0" applyNumberFormat="1" applyFont="1" applyBorder="1" applyAlignment="1">
      <alignment horizont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164" fontId="9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053E-47E5-4010-83DC-E587B1373429}">
  <sheetPr>
    <pageSetUpPr fitToPage="1"/>
  </sheetPr>
  <dimension ref="A1:AI1729"/>
  <sheetViews>
    <sheetView tabSelected="1" workbookViewId="0"/>
  </sheetViews>
  <sheetFormatPr defaultColWidth="9.1796875" defaultRowHeight="11.5" x14ac:dyDescent="0.25"/>
  <cols>
    <col min="1" max="1" width="7.1796875" style="34" customWidth="1"/>
    <col min="2" max="2" width="19.453125" style="34" customWidth="1"/>
    <col min="3" max="3" width="17.26953125" style="34" customWidth="1"/>
    <col min="4" max="4" width="11" style="40" customWidth="1"/>
    <col min="5" max="5" width="25.26953125" style="41" customWidth="1"/>
    <col min="6" max="6" width="13.26953125" style="40" customWidth="1"/>
    <col min="7" max="7" width="12.26953125" style="40" customWidth="1"/>
    <col min="8" max="8" width="12.90625" style="40" customWidth="1"/>
    <col min="9" max="9" width="24.6328125" style="42" customWidth="1"/>
    <col min="10" max="10" width="31.6328125" style="42" customWidth="1"/>
    <col min="11" max="16384" width="9.1796875" style="34"/>
  </cols>
  <sheetData>
    <row r="1" spans="1:10" s="3" customFormat="1" ht="24.75" customHeight="1" thickBot="1" x14ac:dyDescent="0.45">
      <c r="A1" s="1" t="s">
        <v>0</v>
      </c>
      <c r="B1" s="2"/>
      <c r="D1" s="4"/>
      <c r="E1" s="5" t="s">
        <v>1</v>
      </c>
      <c r="F1" s="4"/>
      <c r="G1" s="4"/>
      <c r="H1" s="4"/>
      <c r="I1" s="2"/>
      <c r="J1" s="2"/>
    </row>
    <row r="2" spans="1:10" s="6" customFormat="1" ht="51" customHeight="1" thickBot="1" x14ac:dyDescent="0.4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6" t="s">
        <v>7</v>
      </c>
      <c r="G2" s="7" t="s">
        <v>8</v>
      </c>
      <c r="H2" s="7" t="s">
        <v>9</v>
      </c>
      <c r="I2" s="7" t="s">
        <v>10</v>
      </c>
      <c r="J2" s="7" t="s">
        <v>11</v>
      </c>
    </row>
    <row r="3" spans="1:10" s="10" customFormat="1" ht="12" customHeight="1" x14ac:dyDescent="0.25">
      <c r="A3" s="9">
        <v>1</v>
      </c>
      <c r="B3" s="10" t="s">
        <v>12</v>
      </c>
      <c r="C3" s="10" t="s">
        <v>13</v>
      </c>
      <c r="D3" s="9" t="s">
        <v>14</v>
      </c>
      <c r="E3" s="11" t="str">
        <f>B3</f>
        <v xml:space="preserve">Abacavir </v>
      </c>
      <c r="F3" s="12">
        <f>DATE(2016,1,5)</f>
        <v>42374</v>
      </c>
      <c r="G3" s="9">
        <v>1998</v>
      </c>
      <c r="H3" s="13">
        <v>1</v>
      </c>
      <c r="I3" s="11" t="s">
        <v>15</v>
      </c>
      <c r="J3" s="11" t="s">
        <v>16</v>
      </c>
    </row>
    <row r="4" spans="1:10" s="14" customFormat="1" ht="12" customHeight="1" x14ac:dyDescent="0.25">
      <c r="A4" s="9">
        <v>2</v>
      </c>
      <c r="B4" s="14" t="s">
        <v>17</v>
      </c>
      <c r="C4" s="14" t="s">
        <v>18</v>
      </c>
      <c r="D4" s="9" t="s">
        <v>14</v>
      </c>
      <c r="E4" s="11" t="str">
        <f>B4</f>
        <v>Abatacept</v>
      </c>
      <c r="F4" s="12">
        <f>DATE(2021,10,3)</f>
        <v>44472</v>
      </c>
      <c r="G4" s="13">
        <v>2005</v>
      </c>
      <c r="H4" s="13">
        <v>1</v>
      </c>
      <c r="I4" s="15" t="s">
        <v>19</v>
      </c>
      <c r="J4" s="15" t="s">
        <v>20</v>
      </c>
    </row>
    <row r="5" spans="1:10" s="14" customFormat="1" ht="12" customHeight="1" x14ac:dyDescent="0.25">
      <c r="A5" s="9">
        <v>3</v>
      </c>
      <c r="B5" s="14" t="s">
        <v>21</v>
      </c>
      <c r="C5" s="14" t="s">
        <v>22</v>
      </c>
      <c r="D5" s="9" t="s">
        <v>23</v>
      </c>
      <c r="E5" s="11" t="str">
        <f>B5</f>
        <v>Abemaciclib</v>
      </c>
      <c r="F5" s="12">
        <f>DATE(2022,6,13)</f>
        <v>44725</v>
      </c>
      <c r="G5" s="13">
        <v>2017</v>
      </c>
      <c r="H5" s="13">
        <v>1</v>
      </c>
      <c r="I5" s="15" t="s">
        <v>24</v>
      </c>
      <c r="J5" s="15" t="s">
        <v>25</v>
      </c>
    </row>
    <row r="6" spans="1:10" s="14" customFormat="1" ht="12" customHeight="1" x14ac:dyDescent="0.25">
      <c r="A6" s="9">
        <v>4</v>
      </c>
      <c r="B6" s="14" t="s">
        <v>26</v>
      </c>
      <c r="C6" s="14" t="s">
        <v>27</v>
      </c>
      <c r="D6" s="9" t="s">
        <v>14</v>
      </c>
      <c r="E6" s="11" t="str">
        <f>B6</f>
        <v>Abiraterone</v>
      </c>
      <c r="F6" s="12">
        <f>DATE(2023,3,15)</f>
        <v>45000</v>
      </c>
      <c r="G6" s="13">
        <v>2011</v>
      </c>
      <c r="H6" s="13">
        <v>1</v>
      </c>
      <c r="I6" s="15" t="s">
        <v>24</v>
      </c>
      <c r="J6" s="15" t="s">
        <v>28</v>
      </c>
    </row>
    <row r="7" spans="1:10" s="14" customFormat="1" ht="12" customHeight="1" x14ac:dyDescent="0.25">
      <c r="A7" s="9">
        <v>5</v>
      </c>
      <c r="B7" s="14" t="s">
        <v>29</v>
      </c>
      <c r="C7" s="14" t="s">
        <v>30</v>
      </c>
      <c r="D7" s="9" t="s">
        <v>31</v>
      </c>
      <c r="E7" s="11" t="s">
        <v>29</v>
      </c>
      <c r="F7" s="12">
        <f>DATE(2022,6,13)</f>
        <v>44725</v>
      </c>
      <c r="G7" s="13">
        <v>2022</v>
      </c>
      <c r="H7" s="13">
        <v>1</v>
      </c>
      <c r="I7" s="15" t="s">
        <v>32</v>
      </c>
      <c r="J7" s="15" t="s">
        <v>33</v>
      </c>
    </row>
    <row r="8" spans="1:10" s="14" customFormat="1" ht="12" customHeight="1" x14ac:dyDescent="0.25">
      <c r="A8" s="9">
        <v>6</v>
      </c>
      <c r="B8" s="14" t="s">
        <v>34</v>
      </c>
      <c r="C8" s="14" t="s">
        <v>35</v>
      </c>
      <c r="D8" s="9" t="s">
        <v>36</v>
      </c>
      <c r="E8" s="11" t="str">
        <f>B8</f>
        <v>Acalabrutinib</v>
      </c>
      <c r="F8" s="12">
        <f>DATE(2021,3,20)</f>
        <v>44275</v>
      </c>
      <c r="G8" s="13">
        <v>2017</v>
      </c>
      <c r="H8" s="13">
        <v>1</v>
      </c>
      <c r="I8" s="15" t="s">
        <v>24</v>
      </c>
      <c r="J8" s="15" t="s">
        <v>37</v>
      </c>
    </row>
    <row r="9" spans="1:10" s="14" customFormat="1" ht="12" customHeight="1" x14ac:dyDescent="0.25">
      <c r="A9" s="9">
        <v>7</v>
      </c>
      <c r="B9" s="14" t="s">
        <v>38</v>
      </c>
      <c r="C9" s="14" t="s">
        <v>39</v>
      </c>
      <c r="D9" s="9" t="s">
        <v>31</v>
      </c>
      <c r="E9" s="11" t="str">
        <f>B9</f>
        <v>Acamprosate</v>
      </c>
      <c r="F9" s="12">
        <f>DATE(2021,9,7)</f>
        <v>44446</v>
      </c>
      <c r="G9" s="13">
        <v>2004</v>
      </c>
      <c r="H9" s="13">
        <v>1</v>
      </c>
      <c r="I9" s="15" t="s">
        <v>40</v>
      </c>
      <c r="J9" s="15" t="s">
        <v>41</v>
      </c>
    </row>
    <row r="10" spans="1:10" s="14" customFormat="1" ht="12" customHeight="1" x14ac:dyDescent="0.25">
      <c r="A10" s="9">
        <v>8</v>
      </c>
      <c r="B10" s="14" t="s">
        <v>42</v>
      </c>
      <c r="C10" s="14" t="s">
        <v>43</v>
      </c>
      <c r="D10" s="9" t="s">
        <v>44</v>
      </c>
      <c r="E10" s="11" t="str">
        <f>B10</f>
        <v>Acarbose</v>
      </c>
      <c r="F10" s="12">
        <f>DATE(2021,1,12)</f>
        <v>44208</v>
      </c>
      <c r="G10" s="13">
        <v>1995</v>
      </c>
      <c r="H10" s="13">
        <v>1</v>
      </c>
      <c r="I10" s="15" t="s">
        <v>45</v>
      </c>
      <c r="J10" s="15" t="s">
        <v>46</v>
      </c>
    </row>
    <row r="11" spans="1:10" s="14" customFormat="1" ht="12" customHeight="1" x14ac:dyDescent="0.25">
      <c r="A11" s="9">
        <v>9</v>
      </c>
      <c r="B11" s="14" t="s">
        <v>47</v>
      </c>
      <c r="C11" s="14" t="s">
        <v>48</v>
      </c>
      <c r="D11" s="9" t="s">
        <v>14</v>
      </c>
      <c r="E11" s="11" t="str">
        <f>B11</f>
        <v>Acebutolol</v>
      </c>
      <c r="F11" s="12">
        <f>DATE(2019,5,3)</f>
        <v>43588</v>
      </c>
      <c r="G11" s="13">
        <v>1985</v>
      </c>
      <c r="H11" s="13">
        <v>1</v>
      </c>
      <c r="I11" s="15" t="s">
        <v>49</v>
      </c>
      <c r="J11" s="15" t="s">
        <v>50</v>
      </c>
    </row>
    <row r="12" spans="1:10" s="14" customFormat="1" ht="12" customHeight="1" x14ac:dyDescent="0.25">
      <c r="A12" s="9">
        <v>10</v>
      </c>
      <c r="B12" s="14" t="s">
        <v>51</v>
      </c>
      <c r="C12" s="14" t="s">
        <v>52</v>
      </c>
      <c r="D12" s="9" t="s">
        <v>53</v>
      </c>
      <c r="E12" s="11" t="str">
        <f>B12</f>
        <v>Acetaminophen</v>
      </c>
      <c r="F12" s="12">
        <f>DATE(2016,1,15)</f>
        <v>42384</v>
      </c>
      <c r="G12" s="13">
        <v>1968</v>
      </c>
      <c r="H12" s="13">
        <v>1</v>
      </c>
      <c r="I12" s="15" t="s">
        <v>54</v>
      </c>
      <c r="J12" s="15" t="s">
        <v>55</v>
      </c>
    </row>
    <row r="13" spans="1:10" s="14" customFormat="1" ht="12" customHeight="1" x14ac:dyDescent="0.25">
      <c r="A13" s="9">
        <v>11</v>
      </c>
      <c r="B13" s="14" t="s">
        <v>56</v>
      </c>
      <c r="C13" s="14" t="s">
        <v>57</v>
      </c>
      <c r="D13" s="9" t="s">
        <v>36</v>
      </c>
      <c r="E13" s="11" t="s">
        <v>58</v>
      </c>
      <c r="F13" s="12">
        <f>DATE(2021,10,13)</f>
        <v>44482</v>
      </c>
      <c r="G13" s="13">
        <v>1986</v>
      </c>
      <c r="H13" s="13">
        <v>1</v>
      </c>
      <c r="I13" s="15" t="s">
        <v>49</v>
      </c>
      <c r="J13" s="15" t="s">
        <v>59</v>
      </c>
    </row>
    <row r="14" spans="1:10" s="14" customFormat="1" ht="12" customHeight="1" x14ac:dyDescent="0.25">
      <c r="A14" s="9">
        <v>12</v>
      </c>
      <c r="B14" s="14" t="s">
        <v>60</v>
      </c>
      <c r="C14" s="14" t="s">
        <v>61</v>
      </c>
      <c r="D14" s="9" t="s">
        <v>44</v>
      </c>
      <c r="E14" s="11" t="s">
        <v>62</v>
      </c>
      <c r="F14" s="12">
        <f>DATE(2016,1,30)</f>
        <v>42399</v>
      </c>
      <c r="G14" s="13" t="s">
        <v>63</v>
      </c>
      <c r="H14" s="13">
        <v>1</v>
      </c>
      <c r="I14" s="15" t="s">
        <v>45</v>
      </c>
      <c r="J14" s="15" t="s">
        <v>46</v>
      </c>
    </row>
    <row r="15" spans="1:10" s="14" customFormat="1" ht="12" customHeight="1" x14ac:dyDescent="0.25">
      <c r="A15" s="9">
        <v>13</v>
      </c>
      <c r="B15" s="14" t="s">
        <v>64</v>
      </c>
      <c r="C15" s="14" t="s">
        <v>65</v>
      </c>
      <c r="D15" s="9" t="s">
        <v>31</v>
      </c>
      <c r="E15" s="11" t="str">
        <f>B15</f>
        <v>Acetylcysteine</v>
      </c>
      <c r="F15" s="12">
        <f>DATE(2016,1,30)</f>
        <v>42399</v>
      </c>
      <c r="G15" s="13">
        <v>1963</v>
      </c>
      <c r="H15" s="13">
        <v>1</v>
      </c>
      <c r="I15" s="15" t="s">
        <v>66</v>
      </c>
      <c r="J15" s="15" t="s">
        <v>67</v>
      </c>
    </row>
    <row r="16" spans="1:10" s="14" customFormat="1" ht="12" customHeight="1" x14ac:dyDescent="0.25">
      <c r="A16" s="9">
        <v>14</v>
      </c>
      <c r="B16" s="14" t="s">
        <v>68</v>
      </c>
      <c r="C16" s="14" t="s">
        <v>69</v>
      </c>
      <c r="D16" s="9" t="s">
        <v>44</v>
      </c>
      <c r="E16" s="11" t="str">
        <f>B16</f>
        <v>Acitretin</v>
      </c>
      <c r="F16" s="12">
        <f>DATE(2020,11,8)</f>
        <v>44143</v>
      </c>
      <c r="G16" s="13">
        <v>1996</v>
      </c>
      <c r="H16" s="13">
        <v>1</v>
      </c>
      <c r="I16" s="15" t="s">
        <v>32</v>
      </c>
      <c r="J16" s="15" t="s">
        <v>70</v>
      </c>
    </row>
    <row r="17" spans="1:35" s="14" customFormat="1" ht="12" customHeight="1" x14ac:dyDescent="0.25">
      <c r="A17" s="9">
        <v>15</v>
      </c>
      <c r="B17" s="14" t="s">
        <v>71</v>
      </c>
      <c r="C17" s="14" t="s">
        <v>72</v>
      </c>
      <c r="D17" s="9" t="s">
        <v>31</v>
      </c>
      <c r="E17" s="15" t="str">
        <f>B17</f>
        <v>Aclidinium</v>
      </c>
      <c r="F17" s="12">
        <f>DATE(2016,1,30)</f>
        <v>42399</v>
      </c>
      <c r="G17" s="13">
        <v>2012</v>
      </c>
      <c r="H17" s="13">
        <v>1</v>
      </c>
      <c r="I17" s="15" t="s">
        <v>73</v>
      </c>
      <c r="J17" s="15" t="s">
        <v>74</v>
      </c>
    </row>
    <row r="18" spans="1:35" s="14" customFormat="1" ht="12" customHeight="1" x14ac:dyDescent="0.3">
      <c r="A18" s="9">
        <v>16</v>
      </c>
      <c r="B18" s="14" t="s">
        <v>75</v>
      </c>
      <c r="C18" s="14" t="s">
        <v>76</v>
      </c>
      <c r="D18" s="9" t="s">
        <v>77</v>
      </c>
      <c r="E18" s="10" t="s">
        <v>75</v>
      </c>
      <c r="F18" s="9"/>
      <c r="G18" s="13">
        <v>2025</v>
      </c>
      <c r="H18" s="16">
        <v>0</v>
      </c>
      <c r="I18" s="14" t="s">
        <v>78</v>
      </c>
      <c r="J18" s="14" t="s">
        <v>79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spans="1:35" s="14" customFormat="1" ht="12" customHeight="1" x14ac:dyDescent="0.25">
      <c r="A19" s="9">
        <v>17</v>
      </c>
      <c r="B19" s="14" t="s">
        <v>80</v>
      </c>
      <c r="C19" s="14" t="s">
        <v>81</v>
      </c>
      <c r="D19" s="9" t="s">
        <v>31</v>
      </c>
      <c r="E19" s="10" t="s">
        <v>81</v>
      </c>
      <c r="F19" s="12">
        <f>DATE(2025,2,25)</f>
        <v>45713</v>
      </c>
      <c r="G19" s="13">
        <v>2024</v>
      </c>
      <c r="H19" s="13">
        <v>1</v>
      </c>
      <c r="I19" s="14" t="s">
        <v>49</v>
      </c>
      <c r="J19" s="14" t="s">
        <v>82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s="14" customFormat="1" ht="12" customHeight="1" x14ac:dyDescent="0.25">
      <c r="A20" s="9">
        <v>18</v>
      </c>
      <c r="B20" s="14" t="s">
        <v>83</v>
      </c>
      <c r="C20" s="14" t="s">
        <v>84</v>
      </c>
      <c r="D20" s="9" t="s">
        <v>31</v>
      </c>
      <c r="E20" s="11" t="str">
        <f>B20</f>
        <v>Acrivastine</v>
      </c>
      <c r="F20" s="12">
        <f>DATE(2017,1,17)</f>
        <v>42752</v>
      </c>
      <c r="G20" s="13" t="s">
        <v>63</v>
      </c>
      <c r="H20" s="13">
        <v>1</v>
      </c>
      <c r="I20" s="15" t="s">
        <v>73</v>
      </c>
      <c r="J20" s="15" t="s">
        <v>85</v>
      </c>
    </row>
    <row r="21" spans="1:35" s="14" customFormat="1" ht="12" customHeight="1" x14ac:dyDescent="0.25">
      <c r="A21" s="9">
        <v>19</v>
      </c>
      <c r="B21" s="14" t="s">
        <v>86</v>
      </c>
      <c r="C21" s="14" t="s">
        <v>87</v>
      </c>
      <c r="D21" s="9" t="s">
        <v>36</v>
      </c>
      <c r="E21" s="11" t="str">
        <f>B21</f>
        <v>Acyclovir</v>
      </c>
      <c r="F21" s="12">
        <f>DATE(2016,2,5)</f>
        <v>42405</v>
      </c>
      <c r="G21" s="13">
        <v>1982</v>
      </c>
      <c r="H21" s="13">
        <v>1</v>
      </c>
      <c r="I21" s="15" t="s">
        <v>15</v>
      </c>
      <c r="J21" s="15" t="s">
        <v>88</v>
      </c>
    </row>
    <row r="22" spans="1:35" s="14" customFormat="1" ht="12" customHeight="1" x14ac:dyDescent="0.25">
      <c r="A22" s="9">
        <v>20</v>
      </c>
      <c r="B22" s="14" t="s">
        <v>89</v>
      </c>
      <c r="C22" s="14" t="s">
        <v>90</v>
      </c>
      <c r="D22" s="9" t="s">
        <v>36</v>
      </c>
      <c r="E22" s="10" t="s">
        <v>89</v>
      </c>
      <c r="F22" s="18">
        <f>DATE(2023,10,2)</f>
        <v>45201</v>
      </c>
      <c r="G22" s="13">
        <v>2022</v>
      </c>
      <c r="H22" s="13">
        <v>1</v>
      </c>
      <c r="I22" s="15" t="s">
        <v>24</v>
      </c>
      <c r="J22" s="15" t="s">
        <v>91</v>
      </c>
      <c r="K22" s="13"/>
      <c r="L22" s="13"/>
    </row>
    <row r="23" spans="1:35" s="14" customFormat="1" ht="12" customHeight="1" x14ac:dyDescent="0.25">
      <c r="A23" s="9">
        <v>21</v>
      </c>
      <c r="B23" s="14" t="s">
        <v>92</v>
      </c>
      <c r="C23" s="14" t="s">
        <v>93</v>
      </c>
      <c r="D23" s="9" t="s">
        <v>44</v>
      </c>
      <c r="E23" s="11" t="str">
        <f>B23</f>
        <v>Adalimumab</v>
      </c>
      <c r="F23" s="12">
        <f>DATE(2017,2,5)</f>
        <v>42771</v>
      </c>
      <c r="G23" s="13">
        <v>2002</v>
      </c>
      <c r="H23" s="13">
        <v>1</v>
      </c>
      <c r="I23" s="15" t="s">
        <v>19</v>
      </c>
      <c r="J23" s="15" t="s">
        <v>94</v>
      </c>
    </row>
    <row r="24" spans="1:35" s="14" customFormat="1" ht="12" customHeight="1" x14ac:dyDescent="0.25">
      <c r="A24" s="9">
        <v>22</v>
      </c>
      <c r="B24" s="14" t="s">
        <v>95</v>
      </c>
      <c r="C24" s="14" t="s">
        <v>96</v>
      </c>
      <c r="D24" s="9" t="s">
        <v>31</v>
      </c>
      <c r="E24" s="11" t="str">
        <f>B24</f>
        <v>Adefovir</v>
      </c>
      <c r="F24" s="12">
        <f>DATE(2016,3,1)</f>
        <v>42430</v>
      </c>
      <c r="G24" s="13">
        <v>2002</v>
      </c>
      <c r="H24" s="13">
        <v>1</v>
      </c>
      <c r="I24" s="15" t="s">
        <v>15</v>
      </c>
      <c r="J24" s="15" t="s">
        <v>97</v>
      </c>
    </row>
    <row r="25" spans="1:35" s="14" customFormat="1" ht="12" customHeight="1" x14ac:dyDescent="0.25">
      <c r="A25" s="9">
        <v>23</v>
      </c>
      <c r="B25" s="14" t="s">
        <v>98</v>
      </c>
      <c r="C25" s="14" t="s">
        <v>99</v>
      </c>
      <c r="D25" s="9" t="s">
        <v>31</v>
      </c>
      <c r="E25" s="15" t="str">
        <f>B25</f>
        <v>Aducanumab</v>
      </c>
      <c r="F25" s="12">
        <f>DATE(2021,6,21)</f>
        <v>44368</v>
      </c>
      <c r="G25" s="13">
        <v>2021</v>
      </c>
      <c r="H25" s="13">
        <v>1</v>
      </c>
      <c r="I25" s="15" t="s">
        <v>100</v>
      </c>
      <c r="J25" s="15" t="s">
        <v>101</v>
      </c>
    </row>
    <row r="26" spans="1:35" s="14" customFormat="1" ht="12" customHeight="1" x14ac:dyDescent="0.25">
      <c r="A26" s="9">
        <v>24</v>
      </c>
      <c r="B26" s="14" t="s">
        <v>102</v>
      </c>
      <c r="C26" s="14" t="s">
        <v>103</v>
      </c>
      <c r="D26" s="9" t="s">
        <v>31</v>
      </c>
      <c r="E26" s="11" t="s">
        <v>102</v>
      </c>
      <c r="F26" s="12">
        <f>DATE(2024,3,15)</f>
        <v>45366</v>
      </c>
      <c r="G26" s="16">
        <v>2019</v>
      </c>
      <c r="H26" s="13">
        <v>1</v>
      </c>
      <c r="I26" s="15" t="s">
        <v>104</v>
      </c>
      <c r="J26" s="15" t="s">
        <v>105</v>
      </c>
    </row>
    <row r="27" spans="1:35" s="14" customFormat="1" ht="12" customHeight="1" x14ac:dyDescent="0.25">
      <c r="A27" s="9">
        <v>25</v>
      </c>
      <c r="B27" s="14" t="s">
        <v>106</v>
      </c>
      <c r="C27" s="14" t="s">
        <v>107</v>
      </c>
      <c r="D27" s="9" t="s">
        <v>36</v>
      </c>
      <c r="E27" s="11" t="str">
        <f>B27</f>
        <v>Afatinib</v>
      </c>
      <c r="F27" s="12">
        <f>DATE(2017,3,8)</f>
        <v>42802</v>
      </c>
      <c r="G27" s="13">
        <v>2013</v>
      </c>
      <c r="H27" s="13">
        <v>1</v>
      </c>
      <c r="I27" s="15" t="s">
        <v>24</v>
      </c>
      <c r="J27" s="15" t="s">
        <v>108</v>
      </c>
    </row>
    <row r="28" spans="1:35" s="14" customFormat="1" ht="12" customHeight="1" x14ac:dyDescent="0.3">
      <c r="A28" s="9">
        <v>26</v>
      </c>
      <c r="B28" s="14" t="s">
        <v>109</v>
      </c>
      <c r="C28" s="14" t="s">
        <v>110</v>
      </c>
      <c r="D28" s="9" t="s">
        <v>77</v>
      </c>
      <c r="E28" s="10" t="s">
        <v>109</v>
      </c>
      <c r="F28" s="9"/>
      <c r="G28" s="13">
        <v>2025</v>
      </c>
      <c r="H28" s="16">
        <v>1</v>
      </c>
      <c r="I28" s="14" t="s">
        <v>49</v>
      </c>
      <c r="J28" s="14" t="s">
        <v>111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spans="1:35" s="14" customFormat="1" ht="12" customHeight="1" x14ac:dyDescent="0.25">
      <c r="A29" s="9">
        <v>27</v>
      </c>
      <c r="B29" s="14" t="s">
        <v>112</v>
      </c>
      <c r="C29" s="14" t="s">
        <v>113</v>
      </c>
      <c r="D29" s="9" t="s">
        <v>31</v>
      </c>
      <c r="E29" s="11" t="s">
        <v>114</v>
      </c>
      <c r="F29" s="12">
        <f>DATE(2024,7,31)</f>
        <v>45504</v>
      </c>
      <c r="G29" s="13">
        <v>2011</v>
      </c>
      <c r="H29" s="13">
        <v>1</v>
      </c>
      <c r="I29" s="15" t="s">
        <v>78</v>
      </c>
      <c r="J29" s="15" t="s">
        <v>115</v>
      </c>
    </row>
    <row r="30" spans="1:35" s="14" customFormat="1" ht="12" customHeight="1" x14ac:dyDescent="0.25">
      <c r="A30" s="9">
        <v>28</v>
      </c>
      <c r="B30" s="15" t="s">
        <v>116</v>
      </c>
      <c r="C30" s="15" t="s">
        <v>117</v>
      </c>
      <c r="D30" s="9" t="s">
        <v>31</v>
      </c>
      <c r="E30" s="11" t="s">
        <v>118</v>
      </c>
      <c r="F30" s="12">
        <f>DATE(2016,3,12)</f>
        <v>42441</v>
      </c>
      <c r="G30" s="13">
        <v>2003</v>
      </c>
      <c r="H30" s="13">
        <v>1</v>
      </c>
      <c r="I30" s="15" t="s">
        <v>104</v>
      </c>
      <c r="J30" s="15" t="s">
        <v>119</v>
      </c>
    </row>
    <row r="31" spans="1:35" s="14" customFormat="1" ht="12" customHeight="1" x14ac:dyDescent="0.25">
      <c r="A31" s="9">
        <v>29</v>
      </c>
      <c r="B31" s="14" t="s">
        <v>120</v>
      </c>
      <c r="C31" s="14" t="s">
        <v>121</v>
      </c>
      <c r="D31" s="9" t="s">
        <v>44</v>
      </c>
      <c r="E31" s="11" t="str">
        <f>B31</f>
        <v>Albendazole</v>
      </c>
      <c r="F31" s="12">
        <f>DATE(2021,6,21)</f>
        <v>44368</v>
      </c>
      <c r="G31" s="13">
        <v>1996</v>
      </c>
      <c r="H31" s="13">
        <v>1</v>
      </c>
      <c r="I31" s="15" t="s">
        <v>15</v>
      </c>
      <c r="J31" s="15" t="s">
        <v>122</v>
      </c>
    </row>
    <row r="32" spans="1:35" s="14" customFormat="1" ht="12" customHeight="1" x14ac:dyDescent="0.25">
      <c r="A32" s="9">
        <v>30</v>
      </c>
      <c r="B32" s="14" t="s">
        <v>123</v>
      </c>
      <c r="C32" s="14" t="s">
        <v>124</v>
      </c>
      <c r="D32" s="9" t="s">
        <v>31</v>
      </c>
      <c r="E32" s="11" t="str">
        <f>B32</f>
        <v>Albiglutide</v>
      </c>
      <c r="F32" s="12">
        <f>DATE(2017,5,1)</f>
        <v>42856</v>
      </c>
      <c r="G32" s="13">
        <v>2014</v>
      </c>
      <c r="H32" s="13">
        <v>1</v>
      </c>
      <c r="I32" s="15" t="s">
        <v>45</v>
      </c>
      <c r="J32" s="15" t="s">
        <v>46</v>
      </c>
    </row>
    <row r="33" spans="1:10" s="14" customFormat="1" ht="12" customHeight="1" x14ac:dyDescent="0.25">
      <c r="A33" s="9">
        <v>31</v>
      </c>
      <c r="B33" s="14" t="s">
        <v>125</v>
      </c>
      <c r="C33" s="14" t="s">
        <v>126</v>
      </c>
      <c r="D33" s="9" t="s">
        <v>31</v>
      </c>
      <c r="E33" s="11" t="s">
        <v>127</v>
      </c>
      <c r="F33" s="12">
        <f>DATE(2017,9,10)</f>
        <v>42988</v>
      </c>
      <c r="G33" s="13">
        <v>1981</v>
      </c>
      <c r="H33" s="13">
        <v>1</v>
      </c>
      <c r="I33" s="15" t="s">
        <v>73</v>
      </c>
      <c r="J33" s="15" t="s">
        <v>128</v>
      </c>
    </row>
    <row r="34" spans="1:10" s="14" customFormat="1" ht="12" customHeight="1" x14ac:dyDescent="0.25">
      <c r="A34" s="9">
        <v>32</v>
      </c>
      <c r="B34" s="14" t="s">
        <v>129</v>
      </c>
      <c r="C34" s="14" t="s">
        <v>130</v>
      </c>
      <c r="D34" s="9" t="s">
        <v>131</v>
      </c>
      <c r="E34" s="11" t="str">
        <f>B34</f>
        <v>Aldesleukin</v>
      </c>
      <c r="F34" s="12">
        <f>DATE(2018,5,18)</f>
        <v>43238</v>
      </c>
      <c r="G34" s="13">
        <v>1992</v>
      </c>
      <c r="H34" s="13">
        <v>1</v>
      </c>
      <c r="I34" s="15" t="s">
        <v>24</v>
      </c>
      <c r="J34" s="15" t="s">
        <v>132</v>
      </c>
    </row>
    <row r="35" spans="1:10" s="14" customFormat="1" ht="12" customHeight="1" x14ac:dyDescent="0.25">
      <c r="A35" s="9">
        <v>33</v>
      </c>
      <c r="B35" s="14" t="s">
        <v>133</v>
      </c>
      <c r="C35" s="14" t="s">
        <v>134</v>
      </c>
      <c r="D35" s="9" t="s">
        <v>36</v>
      </c>
      <c r="E35" s="11" t="str">
        <f>B35</f>
        <v>Alectinib</v>
      </c>
      <c r="F35" s="12">
        <f>DATE(2017,3,8)</f>
        <v>42802</v>
      </c>
      <c r="G35" s="13">
        <v>2015</v>
      </c>
      <c r="H35" s="13">
        <v>1</v>
      </c>
      <c r="I35" s="15" t="s">
        <v>24</v>
      </c>
      <c r="J35" s="15" t="s">
        <v>108</v>
      </c>
    </row>
    <row r="36" spans="1:10" s="14" customFormat="1" ht="12" customHeight="1" x14ac:dyDescent="0.25">
      <c r="A36" s="9">
        <v>34</v>
      </c>
      <c r="B36" s="14" t="s">
        <v>135</v>
      </c>
      <c r="C36" s="14" t="s">
        <v>136</v>
      </c>
      <c r="D36" s="9" t="s">
        <v>23</v>
      </c>
      <c r="E36" s="11" t="str">
        <f>B36</f>
        <v>Alefacept</v>
      </c>
      <c r="F36" s="12">
        <f>DATE(2021,9,15)</f>
        <v>44454</v>
      </c>
      <c r="G36" s="13">
        <v>2003</v>
      </c>
      <c r="H36" s="13">
        <v>1</v>
      </c>
      <c r="I36" s="15" t="s">
        <v>32</v>
      </c>
      <c r="J36" s="15" t="s">
        <v>70</v>
      </c>
    </row>
    <row r="37" spans="1:10" s="14" customFormat="1" ht="12" customHeight="1" x14ac:dyDescent="0.25">
      <c r="A37" s="9">
        <v>35</v>
      </c>
      <c r="B37" s="14" t="s">
        <v>137</v>
      </c>
      <c r="C37" s="14" t="s">
        <v>138</v>
      </c>
      <c r="D37" s="9" t="s">
        <v>14</v>
      </c>
      <c r="E37" s="11" t="str">
        <f>B37</f>
        <v>Alemtuzumab</v>
      </c>
      <c r="F37" s="12">
        <f>DATE(2025,9,30)</f>
        <v>45930</v>
      </c>
      <c r="G37" s="13">
        <v>2001</v>
      </c>
      <c r="H37" s="13">
        <v>1</v>
      </c>
      <c r="I37" s="15" t="s">
        <v>139</v>
      </c>
      <c r="J37" s="15" t="s">
        <v>140</v>
      </c>
    </row>
    <row r="38" spans="1:10" s="14" customFormat="1" ht="12" customHeight="1" x14ac:dyDescent="0.25">
      <c r="A38" s="9">
        <v>36</v>
      </c>
      <c r="B38" s="14" t="s">
        <v>141</v>
      </c>
      <c r="C38" s="14" t="s">
        <v>142</v>
      </c>
      <c r="D38" s="9" t="s">
        <v>14</v>
      </c>
      <c r="E38" s="11" t="s">
        <v>143</v>
      </c>
      <c r="F38" s="12">
        <f>DATE(2018,6,15)</f>
        <v>43266</v>
      </c>
      <c r="G38" s="13">
        <v>1995</v>
      </c>
      <c r="H38" s="13">
        <v>1</v>
      </c>
      <c r="I38" s="15" t="s">
        <v>45</v>
      </c>
      <c r="J38" s="15" t="s">
        <v>144</v>
      </c>
    </row>
    <row r="39" spans="1:10" s="14" customFormat="1" ht="12" customHeight="1" x14ac:dyDescent="0.25">
      <c r="A39" s="9">
        <v>37</v>
      </c>
      <c r="B39" s="14" t="s">
        <v>145</v>
      </c>
      <c r="C39" s="14" t="s">
        <v>146</v>
      </c>
      <c r="D39" s="9" t="s">
        <v>31</v>
      </c>
      <c r="E39" s="11" t="s">
        <v>147</v>
      </c>
      <c r="F39" s="12">
        <f>DATE(2018,1,29)</f>
        <v>43129</v>
      </c>
      <c r="G39" s="13">
        <v>1986</v>
      </c>
      <c r="H39" s="13">
        <v>1</v>
      </c>
      <c r="I39" s="15" t="s">
        <v>100</v>
      </c>
      <c r="J39" s="15" t="s">
        <v>148</v>
      </c>
    </row>
    <row r="40" spans="1:10" s="14" customFormat="1" ht="12" customHeight="1" x14ac:dyDescent="0.25">
      <c r="A40" s="9">
        <v>38</v>
      </c>
      <c r="B40" s="14" t="s">
        <v>149</v>
      </c>
      <c r="C40" s="14" t="s">
        <v>150</v>
      </c>
      <c r="D40" s="9" t="s">
        <v>14</v>
      </c>
      <c r="E40" s="11" t="str">
        <f>B40</f>
        <v>Alfuzosin</v>
      </c>
      <c r="F40" s="12">
        <f>DATE(2018,1,5)</f>
        <v>43105</v>
      </c>
      <c r="G40" s="13">
        <v>2003</v>
      </c>
      <c r="H40" s="13">
        <v>1</v>
      </c>
      <c r="I40" s="15" t="s">
        <v>151</v>
      </c>
      <c r="J40" s="15" t="s">
        <v>152</v>
      </c>
    </row>
    <row r="41" spans="1:10" s="14" customFormat="1" ht="12" customHeight="1" x14ac:dyDescent="0.3">
      <c r="A41" s="9">
        <v>39</v>
      </c>
      <c r="B41" s="15" t="s">
        <v>153</v>
      </c>
      <c r="C41" s="19" t="s">
        <v>154</v>
      </c>
      <c r="D41" s="9" t="s">
        <v>31</v>
      </c>
      <c r="E41" s="11" t="str">
        <f>B41</f>
        <v>Alglucerase</v>
      </c>
      <c r="F41" s="12">
        <f>DATE(2016,3,10)</f>
        <v>42439</v>
      </c>
      <c r="G41" s="13">
        <v>1991</v>
      </c>
      <c r="H41" s="13">
        <v>1</v>
      </c>
      <c r="I41" s="15" t="s">
        <v>104</v>
      </c>
      <c r="J41" s="15" t="s">
        <v>155</v>
      </c>
    </row>
    <row r="42" spans="1:10" s="14" customFormat="1" ht="12" customHeight="1" x14ac:dyDescent="0.25">
      <c r="A42" s="9">
        <v>40</v>
      </c>
      <c r="B42" s="15" t="s">
        <v>156</v>
      </c>
      <c r="C42" s="15" t="s">
        <v>157</v>
      </c>
      <c r="D42" s="9" t="s">
        <v>31</v>
      </c>
      <c r="E42" s="11" t="s">
        <v>118</v>
      </c>
      <c r="F42" s="12">
        <f>DATE(2016,3,12)</f>
        <v>42441</v>
      </c>
      <c r="G42" s="13">
        <v>2010</v>
      </c>
      <c r="H42" s="13">
        <v>1</v>
      </c>
      <c r="I42" s="15" t="s">
        <v>104</v>
      </c>
      <c r="J42" s="15" t="s">
        <v>158</v>
      </c>
    </row>
    <row r="43" spans="1:10" s="14" customFormat="1" ht="12" customHeight="1" x14ac:dyDescent="0.25">
      <c r="A43" s="9">
        <v>41</v>
      </c>
      <c r="B43" s="14" t="s">
        <v>159</v>
      </c>
      <c r="C43" s="14" t="s">
        <v>160</v>
      </c>
      <c r="D43" s="9" t="s">
        <v>31</v>
      </c>
      <c r="E43" s="11" t="str">
        <f>B43</f>
        <v>Alirocumab</v>
      </c>
      <c r="F43" s="12">
        <f>DATE(2018,2,18)</f>
        <v>43149</v>
      </c>
      <c r="G43" s="13">
        <v>2015</v>
      </c>
      <c r="H43" s="13">
        <v>1</v>
      </c>
      <c r="I43" s="15" t="s">
        <v>49</v>
      </c>
      <c r="J43" s="15" t="s">
        <v>161</v>
      </c>
    </row>
    <row r="44" spans="1:10" s="14" customFormat="1" ht="12" customHeight="1" x14ac:dyDescent="0.25">
      <c r="A44" s="9">
        <v>42</v>
      </c>
      <c r="B44" s="14" t="s">
        <v>162</v>
      </c>
      <c r="C44" s="14" t="s">
        <v>163</v>
      </c>
      <c r="D44" s="9" t="s">
        <v>14</v>
      </c>
      <c r="E44" s="11" t="str">
        <f>B44</f>
        <v>Aliskiren</v>
      </c>
      <c r="F44" s="12">
        <f>DATE(2016,3,1)</f>
        <v>42430</v>
      </c>
      <c r="G44" s="13">
        <v>2007</v>
      </c>
      <c r="H44" s="13">
        <v>1</v>
      </c>
      <c r="I44" s="15" t="s">
        <v>49</v>
      </c>
      <c r="J44" s="15" t="s">
        <v>50</v>
      </c>
    </row>
    <row r="45" spans="1:10" s="14" customFormat="1" ht="12" customHeight="1" x14ac:dyDescent="0.25">
      <c r="A45" s="9">
        <v>43</v>
      </c>
      <c r="B45" s="14" t="s">
        <v>164</v>
      </c>
      <c r="C45" s="14" t="s">
        <v>165</v>
      </c>
      <c r="D45" s="9" t="s">
        <v>166</v>
      </c>
      <c r="E45" s="11" t="str">
        <f>B45</f>
        <v>Allopurinol</v>
      </c>
      <c r="F45" s="12">
        <f>DATE(2025,7,25)</f>
        <v>45863</v>
      </c>
      <c r="G45" s="13">
        <v>1965</v>
      </c>
      <c r="H45" s="13">
        <v>1</v>
      </c>
      <c r="I45" s="15" t="s">
        <v>19</v>
      </c>
      <c r="J45" s="15" t="s">
        <v>167</v>
      </c>
    </row>
    <row r="46" spans="1:10" s="14" customFormat="1" ht="12" customHeight="1" x14ac:dyDescent="0.25">
      <c r="A46" s="9">
        <v>44</v>
      </c>
      <c r="B46" s="14" t="s">
        <v>168</v>
      </c>
      <c r="C46" s="14" t="s">
        <v>169</v>
      </c>
      <c r="D46" s="9" t="s">
        <v>31</v>
      </c>
      <c r="E46" s="11" t="s">
        <v>170</v>
      </c>
      <c r="F46" s="12">
        <f>DATE(2018,2,10)</f>
        <v>43141</v>
      </c>
      <c r="G46" s="13">
        <v>2001</v>
      </c>
      <c r="H46" s="13">
        <v>1</v>
      </c>
      <c r="I46" s="15" t="s">
        <v>100</v>
      </c>
      <c r="J46" s="15" t="s">
        <v>171</v>
      </c>
    </row>
    <row r="47" spans="1:10" s="14" customFormat="1" ht="12" customHeight="1" x14ac:dyDescent="0.25">
      <c r="A47" s="9">
        <v>45</v>
      </c>
      <c r="B47" s="14" t="s">
        <v>172</v>
      </c>
      <c r="C47" s="14" t="s">
        <v>173</v>
      </c>
      <c r="D47" s="9" t="s">
        <v>44</v>
      </c>
      <c r="E47" s="11" t="str">
        <f>B47</f>
        <v>Aloe Vera</v>
      </c>
      <c r="F47" s="12">
        <f>DATE(2022,5,24)</f>
        <v>44705</v>
      </c>
      <c r="G47" s="13" t="s">
        <v>174</v>
      </c>
      <c r="H47" s="13">
        <v>1</v>
      </c>
      <c r="I47" s="15" t="s">
        <v>175</v>
      </c>
      <c r="J47" s="15" t="s">
        <v>176</v>
      </c>
    </row>
    <row r="48" spans="1:10" s="14" customFormat="1" ht="12" customHeight="1" x14ac:dyDescent="0.25">
      <c r="A48" s="9">
        <v>46</v>
      </c>
      <c r="B48" s="14" t="s">
        <v>177</v>
      </c>
      <c r="C48" s="14" t="s">
        <v>178</v>
      </c>
      <c r="D48" s="9" t="s">
        <v>23</v>
      </c>
      <c r="E48" s="11" t="str">
        <f>B48</f>
        <v>Alogliptin</v>
      </c>
      <c r="F48" s="12">
        <f>DATE(2018,1,2)</f>
        <v>43102</v>
      </c>
      <c r="G48" s="13">
        <v>2013</v>
      </c>
      <c r="H48" s="13">
        <v>1</v>
      </c>
      <c r="I48" s="15" t="s">
        <v>45</v>
      </c>
      <c r="J48" s="15" t="s">
        <v>46</v>
      </c>
    </row>
    <row r="49" spans="1:35" s="14" customFormat="1" ht="12" customHeight="1" x14ac:dyDescent="0.25">
      <c r="A49" s="9">
        <v>47</v>
      </c>
      <c r="B49" s="14" t="s">
        <v>179</v>
      </c>
      <c r="C49" s="14" t="s">
        <v>180</v>
      </c>
      <c r="D49" s="9" t="s">
        <v>36</v>
      </c>
      <c r="E49" s="11" t="s">
        <v>181</v>
      </c>
      <c r="F49" s="12">
        <f>DATE(2018,1,14)</f>
        <v>43114</v>
      </c>
      <c r="G49" s="13">
        <v>2000</v>
      </c>
      <c r="H49" s="13">
        <v>1</v>
      </c>
      <c r="I49" s="15" t="s">
        <v>182</v>
      </c>
      <c r="J49" s="15" t="s">
        <v>183</v>
      </c>
    </row>
    <row r="50" spans="1:35" s="14" customFormat="1" ht="12" customHeight="1" x14ac:dyDescent="0.25">
      <c r="A50" s="9">
        <v>48</v>
      </c>
      <c r="B50" s="14" t="s">
        <v>184</v>
      </c>
      <c r="C50" s="14" t="s">
        <v>185</v>
      </c>
      <c r="D50" s="9" t="s">
        <v>23</v>
      </c>
      <c r="E50" s="11" t="str">
        <f>B50</f>
        <v>Alpelisib</v>
      </c>
      <c r="F50" s="12">
        <f>DATE(2021,9,18)</f>
        <v>44457</v>
      </c>
      <c r="G50" s="13">
        <v>2019</v>
      </c>
      <c r="H50" s="13">
        <v>1</v>
      </c>
      <c r="I50" s="15" t="s">
        <v>24</v>
      </c>
      <c r="J50" s="15" t="s">
        <v>186</v>
      </c>
    </row>
    <row r="51" spans="1:35" s="14" customFormat="1" ht="12" customHeight="1" x14ac:dyDescent="0.25">
      <c r="A51" s="9">
        <v>49</v>
      </c>
      <c r="B51" s="14" t="s">
        <v>187</v>
      </c>
      <c r="C51" s="14" t="s">
        <v>188</v>
      </c>
      <c r="D51" s="9" t="s">
        <v>31</v>
      </c>
      <c r="E51" s="11" t="s">
        <v>189</v>
      </c>
      <c r="F51" s="12">
        <f>DATE(2021,5,23)</f>
        <v>44339</v>
      </c>
      <c r="G51" s="13" t="s">
        <v>174</v>
      </c>
      <c r="H51" s="13">
        <v>1</v>
      </c>
      <c r="I51" s="15" t="s">
        <v>190</v>
      </c>
      <c r="J51" s="15" t="s">
        <v>191</v>
      </c>
    </row>
    <row r="52" spans="1:35" s="14" customFormat="1" ht="12" customHeight="1" x14ac:dyDescent="0.25">
      <c r="A52" s="9">
        <v>50</v>
      </c>
      <c r="B52" s="15" t="s">
        <v>192</v>
      </c>
      <c r="C52" s="15" t="s">
        <v>193</v>
      </c>
      <c r="D52" s="9" t="s">
        <v>31</v>
      </c>
      <c r="E52" s="11" t="s">
        <v>192</v>
      </c>
      <c r="F52" s="12">
        <f>DATE(2023,5,12)</f>
        <v>45058</v>
      </c>
      <c r="G52" s="13" t="s">
        <v>174</v>
      </c>
      <c r="H52" s="13">
        <v>1</v>
      </c>
      <c r="I52" s="15" t="s">
        <v>190</v>
      </c>
      <c r="J52" s="15" t="s">
        <v>194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s="14" customFormat="1" ht="12" customHeight="1" x14ac:dyDescent="0.25">
      <c r="A53" s="9">
        <v>51</v>
      </c>
      <c r="B53" s="14" t="s">
        <v>195</v>
      </c>
      <c r="C53" s="14" t="s">
        <v>196</v>
      </c>
      <c r="D53" s="9" t="s">
        <v>31</v>
      </c>
      <c r="E53" s="11" t="s">
        <v>197</v>
      </c>
      <c r="F53" s="12">
        <f>DATE(2021,5,23)</f>
        <v>44339</v>
      </c>
      <c r="G53" s="13" t="s">
        <v>63</v>
      </c>
      <c r="H53" s="13">
        <v>1</v>
      </c>
      <c r="I53" s="15" t="s">
        <v>190</v>
      </c>
      <c r="J53" s="15" t="s">
        <v>198</v>
      </c>
    </row>
    <row r="54" spans="1:35" s="14" customFormat="1" ht="12" customHeight="1" x14ac:dyDescent="0.25">
      <c r="A54" s="9">
        <v>52</v>
      </c>
      <c r="B54" s="14" t="s">
        <v>199</v>
      </c>
      <c r="C54" s="14" t="s">
        <v>200</v>
      </c>
      <c r="D54" s="9" t="s">
        <v>31</v>
      </c>
      <c r="E54" s="11" t="s">
        <v>118</v>
      </c>
      <c r="F54" s="12">
        <f>DATE(2016,3,12)</f>
        <v>42441</v>
      </c>
      <c r="G54" s="13">
        <v>2010</v>
      </c>
      <c r="H54" s="13">
        <v>1</v>
      </c>
      <c r="I54" s="15" t="s">
        <v>104</v>
      </c>
      <c r="J54" s="15" t="s">
        <v>201</v>
      </c>
    </row>
    <row r="55" spans="1:35" s="14" customFormat="1" ht="12" customHeight="1" x14ac:dyDescent="0.25">
      <c r="A55" s="9">
        <v>53</v>
      </c>
      <c r="B55" s="14" t="s">
        <v>202</v>
      </c>
      <c r="C55" s="14" t="s">
        <v>203</v>
      </c>
      <c r="D55" s="9" t="s">
        <v>36</v>
      </c>
      <c r="E55" s="11" t="str">
        <f>B55</f>
        <v>Alprazolam</v>
      </c>
      <c r="F55" s="12">
        <f>DATE(2023,6,22)</f>
        <v>45099</v>
      </c>
      <c r="G55" s="13">
        <v>1981</v>
      </c>
      <c r="H55" s="13">
        <v>1</v>
      </c>
      <c r="I55" s="15" t="s">
        <v>100</v>
      </c>
      <c r="J55" s="15" t="s">
        <v>204</v>
      </c>
    </row>
    <row r="56" spans="1:35" s="14" customFormat="1" ht="12" customHeight="1" x14ac:dyDescent="0.25">
      <c r="A56" s="9">
        <v>54</v>
      </c>
      <c r="B56" s="14" t="s">
        <v>205</v>
      </c>
      <c r="C56" s="14" t="s">
        <v>206</v>
      </c>
      <c r="D56" s="9" t="s">
        <v>23</v>
      </c>
      <c r="E56" s="11" t="str">
        <f>B56</f>
        <v>Altretamine</v>
      </c>
      <c r="F56" s="20">
        <f>DATE(2016,3,1)</f>
        <v>42430</v>
      </c>
      <c r="G56" s="13">
        <v>1990</v>
      </c>
      <c r="H56" s="13">
        <v>1</v>
      </c>
      <c r="I56" s="15" t="s">
        <v>24</v>
      </c>
      <c r="J56" s="15" t="s">
        <v>207</v>
      </c>
    </row>
    <row r="57" spans="1:35" s="14" customFormat="1" ht="12" customHeight="1" x14ac:dyDescent="0.25">
      <c r="A57" s="9">
        <v>55</v>
      </c>
      <c r="B57" s="14" t="s">
        <v>208</v>
      </c>
      <c r="C57" s="14" t="s">
        <v>209</v>
      </c>
      <c r="D57" s="9" t="s">
        <v>31</v>
      </c>
      <c r="E57" s="11" t="str">
        <f>B57</f>
        <v>Amantadine</v>
      </c>
      <c r="F57" s="12">
        <f>DATE(2020,6,22)</f>
        <v>44004</v>
      </c>
      <c r="G57" s="13">
        <v>1968</v>
      </c>
      <c r="H57" s="13">
        <v>1</v>
      </c>
      <c r="I57" s="15" t="s">
        <v>100</v>
      </c>
      <c r="J57" s="15" t="s">
        <v>210</v>
      </c>
    </row>
    <row r="58" spans="1:35" s="14" customFormat="1" ht="12" customHeight="1" x14ac:dyDescent="0.25">
      <c r="A58" s="9">
        <v>56</v>
      </c>
      <c r="B58" s="14" t="s">
        <v>211</v>
      </c>
      <c r="C58" s="14" t="s">
        <v>212</v>
      </c>
      <c r="D58" s="9" t="s">
        <v>31</v>
      </c>
      <c r="E58" s="11"/>
      <c r="F58" s="12"/>
      <c r="G58" s="13">
        <v>2008</v>
      </c>
      <c r="H58" s="13">
        <v>0</v>
      </c>
      <c r="I58" s="15" t="s">
        <v>100</v>
      </c>
      <c r="J58" s="15" t="s">
        <v>213</v>
      </c>
    </row>
    <row r="59" spans="1:35" s="14" customFormat="1" ht="12" customHeight="1" x14ac:dyDescent="0.25">
      <c r="A59" s="9">
        <v>57</v>
      </c>
      <c r="B59" s="14" t="s">
        <v>214</v>
      </c>
      <c r="C59" s="14" t="s">
        <v>215</v>
      </c>
      <c r="D59" s="9" t="s">
        <v>31</v>
      </c>
      <c r="E59" s="11" t="str">
        <f>B59</f>
        <v>Ambrisentan</v>
      </c>
      <c r="F59" s="12">
        <f>DATE(2017,9,30)</f>
        <v>43008</v>
      </c>
      <c r="G59" s="13">
        <v>2007</v>
      </c>
      <c r="H59" s="13">
        <v>1</v>
      </c>
      <c r="I59" s="15" t="s">
        <v>73</v>
      </c>
      <c r="J59" s="15" t="s">
        <v>216</v>
      </c>
    </row>
    <row r="60" spans="1:35" s="14" customFormat="1" ht="12" customHeight="1" x14ac:dyDescent="0.25">
      <c r="A60" s="9">
        <v>58</v>
      </c>
      <c r="B60" s="14" t="s">
        <v>217</v>
      </c>
      <c r="C60" s="14" t="s">
        <v>218</v>
      </c>
      <c r="D60" s="9" t="s">
        <v>31</v>
      </c>
      <c r="E60" s="11" t="str">
        <f>B60</f>
        <v>Amifampridine</v>
      </c>
      <c r="F60" s="12">
        <f>DATE(2019,3,20)</f>
        <v>43544</v>
      </c>
      <c r="G60" s="13">
        <v>2018</v>
      </c>
      <c r="H60" s="13">
        <v>1</v>
      </c>
      <c r="I60" s="15" t="s">
        <v>100</v>
      </c>
      <c r="J60" s="15" t="s">
        <v>219</v>
      </c>
    </row>
    <row r="61" spans="1:35" s="14" customFormat="1" ht="12" customHeight="1" x14ac:dyDescent="0.25">
      <c r="A61" s="9">
        <v>59</v>
      </c>
      <c r="B61" s="14" t="s">
        <v>220</v>
      </c>
      <c r="C61" s="14" t="s">
        <v>221</v>
      </c>
      <c r="D61" s="9" t="s">
        <v>77</v>
      </c>
      <c r="E61" s="15" t="str">
        <f>B61</f>
        <v>Amifostine</v>
      </c>
      <c r="F61" s="12"/>
      <c r="G61" s="13">
        <v>1995</v>
      </c>
      <c r="H61" s="13">
        <v>0</v>
      </c>
      <c r="I61" s="15" t="s">
        <v>66</v>
      </c>
      <c r="J61" s="15" t="s">
        <v>222</v>
      </c>
    </row>
    <row r="62" spans="1:35" s="14" customFormat="1" ht="12" customHeight="1" x14ac:dyDescent="0.25">
      <c r="A62" s="9">
        <v>60</v>
      </c>
      <c r="B62" s="14" t="s">
        <v>223</v>
      </c>
      <c r="C62" s="14" t="s">
        <v>224</v>
      </c>
      <c r="D62" s="9" t="s">
        <v>31</v>
      </c>
      <c r="E62" s="15" t="str">
        <f>B62</f>
        <v>Amikacin</v>
      </c>
      <c r="F62" s="12">
        <f>DATE(2016,3,1)</f>
        <v>42430</v>
      </c>
      <c r="G62" s="13">
        <v>1981</v>
      </c>
      <c r="H62" s="13">
        <v>1</v>
      </c>
      <c r="I62" s="15" t="s">
        <v>15</v>
      </c>
      <c r="J62" s="15" t="s">
        <v>225</v>
      </c>
    </row>
    <row r="63" spans="1:35" s="14" customFormat="1" ht="12" customHeight="1" x14ac:dyDescent="0.25">
      <c r="A63" s="9">
        <v>61</v>
      </c>
      <c r="B63" s="14" t="s">
        <v>226</v>
      </c>
      <c r="C63" s="14" t="s">
        <v>227</v>
      </c>
      <c r="D63" s="9" t="s">
        <v>36</v>
      </c>
      <c r="E63" s="15" t="str">
        <f>B63</f>
        <v>Amiloride</v>
      </c>
      <c r="F63" s="12">
        <f>DATE(2021,9,2)</f>
        <v>44441</v>
      </c>
      <c r="G63" s="13">
        <v>1986</v>
      </c>
      <c r="H63" s="13">
        <v>1</v>
      </c>
      <c r="I63" s="15" t="s">
        <v>49</v>
      </c>
      <c r="J63" s="15" t="s">
        <v>59</v>
      </c>
    </row>
    <row r="64" spans="1:35" s="14" customFormat="1" ht="12" customHeight="1" x14ac:dyDescent="0.25">
      <c r="A64" s="9">
        <v>62</v>
      </c>
      <c r="B64" s="14" t="s">
        <v>228</v>
      </c>
      <c r="C64" s="14" t="s">
        <v>229</v>
      </c>
      <c r="D64" s="9" t="s">
        <v>77</v>
      </c>
      <c r="E64" s="15"/>
      <c r="F64" s="12"/>
      <c r="G64" s="13">
        <v>1964</v>
      </c>
      <c r="H64" s="13">
        <v>0</v>
      </c>
      <c r="I64" s="15" t="s">
        <v>230</v>
      </c>
      <c r="J64" s="15" t="s">
        <v>231</v>
      </c>
    </row>
    <row r="65" spans="1:10" s="14" customFormat="1" ht="12" customHeight="1" x14ac:dyDescent="0.25">
      <c r="A65" s="9">
        <v>63</v>
      </c>
      <c r="B65" s="14" t="s">
        <v>232</v>
      </c>
      <c r="C65" s="14" t="s">
        <v>233</v>
      </c>
      <c r="D65" s="9" t="s">
        <v>77</v>
      </c>
      <c r="E65" s="15"/>
      <c r="F65" s="12"/>
      <c r="G65" s="13" t="s">
        <v>63</v>
      </c>
      <c r="H65" s="13">
        <v>0</v>
      </c>
      <c r="I65" s="15" t="s">
        <v>45</v>
      </c>
      <c r="J65" s="15" t="s">
        <v>234</v>
      </c>
    </row>
    <row r="66" spans="1:10" s="14" customFormat="1" ht="12" customHeight="1" x14ac:dyDescent="0.25">
      <c r="A66" s="9">
        <v>64</v>
      </c>
      <c r="B66" s="14" t="s">
        <v>235</v>
      </c>
      <c r="C66" s="14" t="s">
        <v>236</v>
      </c>
      <c r="D66" s="9" t="s">
        <v>31</v>
      </c>
      <c r="E66" s="15" t="s">
        <v>237</v>
      </c>
      <c r="F66" s="12"/>
      <c r="G66" s="13">
        <v>1940</v>
      </c>
      <c r="H66" s="13">
        <v>0</v>
      </c>
      <c r="I66" s="15" t="s">
        <v>73</v>
      </c>
      <c r="J66" s="15" t="s">
        <v>128</v>
      </c>
    </row>
    <row r="67" spans="1:10" s="14" customFormat="1" ht="12" customHeight="1" x14ac:dyDescent="0.25">
      <c r="A67" s="9">
        <v>65</v>
      </c>
      <c r="B67" s="14" t="s">
        <v>238</v>
      </c>
      <c r="C67" s="14" t="s">
        <v>239</v>
      </c>
      <c r="D67" s="9" t="s">
        <v>166</v>
      </c>
      <c r="E67" s="15"/>
      <c r="F67" s="12"/>
      <c r="G67" s="13" t="s">
        <v>240</v>
      </c>
      <c r="H67" s="13">
        <v>0</v>
      </c>
      <c r="I67" s="15" t="s">
        <v>15</v>
      </c>
      <c r="J67" s="15" t="s">
        <v>241</v>
      </c>
    </row>
    <row r="68" spans="1:10" s="14" customFormat="1" ht="12" customHeight="1" x14ac:dyDescent="0.25">
      <c r="A68" s="9">
        <v>66</v>
      </c>
      <c r="B68" s="14" t="s">
        <v>242</v>
      </c>
      <c r="C68" s="14" t="s">
        <v>243</v>
      </c>
      <c r="D68" s="9" t="s">
        <v>166</v>
      </c>
      <c r="E68" s="15" t="str">
        <f>B68</f>
        <v>Amiodarone</v>
      </c>
      <c r="F68" s="12">
        <f>DATE(2016,3,1)</f>
        <v>42430</v>
      </c>
      <c r="G68" s="13">
        <v>1985</v>
      </c>
      <c r="H68" s="13">
        <v>1</v>
      </c>
      <c r="I68" s="15" t="s">
        <v>49</v>
      </c>
      <c r="J68" s="15" t="s">
        <v>244</v>
      </c>
    </row>
    <row r="69" spans="1:10" s="14" customFormat="1" ht="12" customHeight="1" x14ac:dyDescent="0.25">
      <c r="A69" s="9">
        <v>67</v>
      </c>
      <c r="B69" s="14" t="s">
        <v>245</v>
      </c>
      <c r="C69" s="14" t="s">
        <v>246</v>
      </c>
      <c r="D69" s="9" t="s">
        <v>31</v>
      </c>
      <c r="E69" s="15" t="s">
        <v>245</v>
      </c>
      <c r="F69" s="12">
        <f>DATE(2024,5,14)</f>
        <v>45426</v>
      </c>
      <c r="G69" s="16">
        <v>2020</v>
      </c>
      <c r="H69" s="13">
        <v>1</v>
      </c>
      <c r="I69" s="15" t="s">
        <v>182</v>
      </c>
      <c r="J69" s="15" t="s">
        <v>247</v>
      </c>
    </row>
    <row r="70" spans="1:10" s="14" customFormat="1" ht="12" customHeight="1" x14ac:dyDescent="0.25">
      <c r="A70" s="9">
        <v>68</v>
      </c>
      <c r="B70" s="14" t="s">
        <v>248</v>
      </c>
      <c r="C70" s="14" t="s">
        <v>249</v>
      </c>
      <c r="D70" s="9" t="s">
        <v>44</v>
      </c>
      <c r="E70" s="15" t="str">
        <f>B70</f>
        <v>Amitriptyline</v>
      </c>
      <c r="F70" s="12">
        <f>DATE(2016,3,1)</f>
        <v>42430</v>
      </c>
      <c r="G70" s="13">
        <v>1961</v>
      </c>
      <c r="H70" s="13">
        <v>1</v>
      </c>
      <c r="I70" s="15" t="s">
        <v>100</v>
      </c>
      <c r="J70" s="15" t="s">
        <v>250</v>
      </c>
    </row>
    <row r="71" spans="1:10" s="14" customFormat="1" ht="12" customHeight="1" x14ac:dyDescent="0.25">
      <c r="A71" s="9">
        <v>69</v>
      </c>
      <c r="B71" s="14" t="s">
        <v>251</v>
      </c>
      <c r="C71" s="14" t="s">
        <v>252</v>
      </c>
      <c r="D71" s="9" t="s">
        <v>31</v>
      </c>
      <c r="E71" s="15" t="s">
        <v>251</v>
      </c>
      <c r="F71" s="12">
        <f>DATE(2025,3,28)</f>
        <v>45744</v>
      </c>
      <c r="G71" s="16">
        <v>2021</v>
      </c>
      <c r="H71" s="13">
        <v>1</v>
      </c>
      <c r="I71" s="15" t="s">
        <v>24</v>
      </c>
      <c r="J71" s="15" t="s">
        <v>253</v>
      </c>
    </row>
    <row r="72" spans="1:10" s="14" customFormat="1" ht="12" customHeight="1" x14ac:dyDescent="0.25">
      <c r="A72" s="9">
        <v>70</v>
      </c>
      <c r="B72" s="14" t="s">
        <v>254</v>
      </c>
      <c r="C72" s="14" t="s">
        <v>255</v>
      </c>
      <c r="D72" s="9" t="s">
        <v>14</v>
      </c>
      <c r="E72" s="15" t="str">
        <f>B72</f>
        <v>Amlodipine</v>
      </c>
      <c r="F72" s="12">
        <f>DATE(2017,1,10)</f>
        <v>42745</v>
      </c>
      <c r="G72" s="13">
        <v>1992</v>
      </c>
      <c r="H72" s="13">
        <v>1</v>
      </c>
      <c r="I72" s="15" t="s">
        <v>49</v>
      </c>
      <c r="J72" s="15" t="s">
        <v>50</v>
      </c>
    </row>
    <row r="73" spans="1:10" s="14" customFormat="1" ht="12" customHeight="1" x14ac:dyDescent="0.25">
      <c r="A73" s="9">
        <v>71</v>
      </c>
      <c r="B73" s="14" t="s">
        <v>256</v>
      </c>
      <c r="C73" s="14" t="s">
        <v>257</v>
      </c>
      <c r="D73" s="9" t="s">
        <v>31</v>
      </c>
      <c r="E73" s="15" t="s">
        <v>258</v>
      </c>
      <c r="F73" s="12">
        <f>DATE(2021,10,5)</f>
        <v>44474</v>
      </c>
      <c r="G73" s="13" t="s">
        <v>63</v>
      </c>
      <c r="H73" s="13">
        <v>1</v>
      </c>
      <c r="I73" s="15" t="s">
        <v>100</v>
      </c>
      <c r="J73" s="15" t="s">
        <v>204</v>
      </c>
    </row>
    <row r="74" spans="1:10" s="14" customFormat="1" ht="12" customHeight="1" x14ac:dyDescent="0.25">
      <c r="A74" s="9">
        <v>72</v>
      </c>
      <c r="B74" s="14" t="s">
        <v>259</v>
      </c>
      <c r="C74" s="14" t="s">
        <v>260</v>
      </c>
      <c r="D74" s="9" t="s">
        <v>166</v>
      </c>
      <c r="E74" s="15" t="str">
        <f t="shared" ref="E74:E79" si="0">B74</f>
        <v>Amodiaquine</v>
      </c>
      <c r="F74" s="12">
        <f>DATE(2017,2,5)</f>
        <v>42771</v>
      </c>
      <c r="G74" s="13" t="s">
        <v>63</v>
      </c>
      <c r="H74" s="13">
        <v>1</v>
      </c>
      <c r="I74" s="15" t="s">
        <v>15</v>
      </c>
      <c r="J74" s="15" t="s">
        <v>261</v>
      </c>
    </row>
    <row r="75" spans="1:10" s="14" customFormat="1" ht="12" customHeight="1" x14ac:dyDescent="0.25">
      <c r="A75" s="9">
        <v>73</v>
      </c>
      <c r="B75" s="14" t="s">
        <v>262</v>
      </c>
      <c r="C75" s="14" t="s">
        <v>263</v>
      </c>
      <c r="D75" s="9" t="s">
        <v>31</v>
      </c>
      <c r="E75" s="15" t="str">
        <f t="shared" si="0"/>
        <v>Amoxapine</v>
      </c>
      <c r="F75" s="12">
        <f>DATE(2016,3,1)</f>
        <v>42430</v>
      </c>
      <c r="G75" s="13">
        <v>1992</v>
      </c>
      <c r="H75" s="13">
        <v>1</v>
      </c>
      <c r="I75" s="15" t="s">
        <v>100</v>
      </c>
      <c r="J75" s="15" t="s">
        <v>250</v>
      </c>
    </row>
    <row r="76" spans="1:10" s="14" customFormat="1" ht="12" customHeight="1" x14ac:dyDescent="0.25">
      <c r="A76" s="9">
        <v>74</v>
      </c>
      <c r="B76" s="14" t="s">
        <v>264</v>
      </c>
      <c r="C76" s="14" t="s">
        <v>265</v>
      </c>
      <c r="D76" s="9" t="s">
        <v>44</v>
      </c>
      <c r="E76" s="15" t="str">
        <f t="shared" si="0"/>
        <v>Amoxicillin</v>
      </c>
      <c r="F76" s="12">
        <f>DATE(2020,10,20)</f>
        <v>44124</v>
      </c>
      <c r="G76" s="13">
        <v>1980</v>
      </c>
      <c r="H76" s="13">
        <v>1</v>
      </c>
      <c r="I76" s="15" t="s">
        <v>15</v>
      </c>
      <c r="J76" s="15" t="s">
        <v>225</v>
      </c>
    </row>
    <row r="77" spans="1:10" s="14" customFormat="1" ht="12" customHeight="1" x14ac:dyDescent="0.25">
      <c r="A77" s="9">
        <v>75</v>
      </c>
      <c r="B77" s="14" t="s">
        <v>266</v>
      </c>
      <c r="C77" s="14" t="s">
        <v>267</v>
      </c>
      <c r="D77" s="9" t="s">
        <v>53</v>
      </c>
      <c r="E77" s="15" t="str">
        <f t="shared" si="0"/>
        <v>Amphetamines</v>
      </c>
      <c r="F77" s="12">
        <f>DATE(2021,8,25)</f>
        <v>44433</v>
      </c>
      <c r="G77" s="13" t="s">
        <v>63</v>
      </c>
      <c r="H77" s="13">
        <v>1</v>
      </c>
      <c r="I77" s="15" t="s">
        <v>100</v>
      </c>
      <c r="J77" s="15" t="s">
        <v>268</v>
      </c>
    </row>
    <row r="78" spans="1:10" s="14" customFormat="1" ht="12" customHeight="1" x14ac:dyDescent="0.25">
      <c r="A78" s="9">
        <v>76</v>
      </c>
      <c r="B78" s="14" t="s">
        <v>269</v>
      </c>
      <c r="C78" s="14" t="s">
        <v>270</v>
      </c>
      <c r="D78" s="9" t="s">
        <v>14</v>
      </c>
      <c r="E78" s="15" t="str">
        <f t="shared" si="0"/>
        <v>Amphotericin-B</v>
      </c>
      <c r="F78" s="12">
        <f>DATE(2016,4,8)</f>
        <v>42468</v>
      </c>
      <c r="G78" s="13">
        <v>1971</v>
      </c>
      <c r="H78" s="13">
        <v>1</v>
      </c>
      <c r="I78" s="15" t="s">
        <v>15</v>
      </c>
      <c r="J78" s="15" t="s">
        <v>271</v>
      </c>
    </row>
    <row r="79" spans="1:10" s="14" customFormat="1" ht="12" customHeight="1" x14ac:dyDescent="0.25">
      <c r="A79" s="9">
        <v>77</v>
      </c>
      <c r="B79" s="14" t="s">
        <v>272</v>
      </c>
      <c r="C79" s="14" t="s">
        <v>273</v>
      </c>
      <c r="D79" s="9" t="s">
        <v>14</v>
      </c>
      <c r="E79" s="15" t="str">
        <f t="shared" si="0"/>
        <v>Ampicillin</v>
      </c>
      <c r="F79" s="12">
        <f>DATE(2020,10,20)</f>
        <v>44124</v>
      </c>
      <c r="G79" s="13">
        <v>1965</v>
      </c>
      <c r="H79" s="13">
        <v>1</v>
      </c>
      <c r="I79" s="15" t="s">
        <v>15</v>
      </c>
      <c r="J79" s="15" t="s">
        <v>225</v>
      </c>
    </row>
    <row r="80" spans="1:10" s="14" customFormat="1" ht="12" customHeight="1" x14ac:dyDescent="0.25">
      <c r="A80" s="9">
        <v>78</v>
      </c>
      <c r="B80" s="14" t="s">
        <v>274</v>
      </c>
      <c r="C80" s="14" t="s">
        <v>275</v>
      </c>
      <c r="D80" s="9" t="s">
        <v>36</v>
      </c>
      <c r="E80" s="15" t="s">
        <v>276</v>
      </c>
      <c r="F80" s="12">
        <f>DATE(2017,9,1)</f>
        <v>42979</v>
      </c>
      <c r="G80" s="13">
        <v>1999</v>
      </c>
      <c r="H80" s="13">
        <v>1</v>
      </c>
      <c r="I80" s="15" t="s">
        <v>15</v>
      </c>
      <c r="J80" s="15" t="s">
        <v>16</v>
      </c>
    </row>
    <row r="81" spans="1:35" s="14" customFormat="1" ht="12" customHeight="1" x14ac:dyDescent="0.25">
      <c r="A81" s="9">
        <v>79</v>
      </c>
      <c r="B81" s="14" t="s">
        <v>277</v>
      </c>
      <c r="C81" s="14" t="s">
        <v>278</v>
      </c>
      <c r="D81" s="9" t="s">
        <v>23</v>
      </c>
      <c r="E81" s="15" t="str">
        <f>B81</f>
        <v>Anagrelide</v>
      </c>
      <c r="F81" s="12">
        <f>DATE(2017,7,4)</f>
        <v>42920</v>
      </c>
      <c r="G81" s="13">
        <v>2005</v>
      </c>
      <c r="H81" s="13">
        <v>1</v>
      </c>
      <c r="I81" s="15" t="s">
        <v>230</v>
      </c>
      <c r="J81" s="15" t="s">
        <v>279</v>
      </c>
    </row>
    <row r="82" spans="1:35" s="14" customFormat="1" ht="12" customHeight="1" x14ac:dyDescent="0.25">
      <c r="A82" s="9">
        <v>80</v>
      </c>
      <c r="B82" s="14" t="s">
        <v>280</v>
      </c>
      <c r="C82" s="14" t="s">
        <v>281</v>
      </c>
      <c r="D82" s="13" t="s">
        <v>14</v>
      </c>
      <c r="E82" s="15" t="str">
        <f>B82</f>
        <v>Anakinra</v>
      </c>
      <c r="F82" s="12">
        <f>DATE(2020,4,26)</f>
        <v>43947</v>
      </c>
      <c r="G82" s="13">
        <v>2001</v>
      </c>
      <c r="H82" s="13">
        <v>1</v>
      </c>
      <c r="I82" s="15" t="s">
        <v>19</v>
      </c>
      <c r="J82" s="15" t="s">
        <v>20</v>
      </c>
    </row>
    <row r="83" spans="1:35" s="14" customFormat="1" ht="12" customHeight="1" x14ac:dyDescent="0.25">
      <c r="A83" s="9">
        <v>81</v>
      </c>
      <c r="B83" s="14" t="s">
        <v>282</v>
      </c>
      <c r="C83" s="14" t="s">
        <v>283</v>
      </c>
      <c r="D83" s="13" t="s">
        <v>14</v>
      </c>
      <c r="E83" s="15" t="str">
        <f>B83</f>
        <v>Anastrozole</v>
      </c>
      <c r="F83" s="12">
        <f>DATE(2017,7,25)</f>
        <v>42941</v>
      </c>
      <c r="G83" s="13">
        <v>1995</v>
      </c>
      <c r="H83" s="13">
        <v>1</v>
      </c>
      <c r="I83" s="15" t="s">
        <v>24</v>
      </c>
      <c r="J83" s="15" t="s">
        <v>284</v>
      </c>
    </row>
    <row r="84" spans="1:35" s="14" customFormat="1" ht="12" customHeight="1" x14ac:dyDescent="0.25">
      <c r="A84" s="9">
        <v>82</v>
      </c>
      <c r="B84" s="15" t="s">
        <v>285</v>
      </c>
      <c r="C84" s="15" t="s">
        <v>286</v>
      </c>
      <c r="D84" s="13" t="s">
        <v>14</v>
      </c>
      <c r="E84" s="14" t="s">
        <v>287</v>
      </c>
      <c r="F84" s="20">
        <f>DATE(2025,9,20)</f>
        <v>45920</v>
      </c>
      <c r="G84" s="13" t="s">
        <v>174</v>
      </c>
      <c r="H84" s="13">
        <v>1</v>
      </c>
      <c r="I84" s="15" t="s">
        <v>45</v>
      </c>
      <c r="J84" s="13" t="s">
        <v>288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 spans="1:35" s="14" customFormat="1" ht="12" customHeight="1" x14ac:dyDescent="0.25">
      <c r="A85" s="9">
        <v>83</v>
      </c>
      <c r="B85" s="14" t="s">
        <v>289</v>
      </c>
      <c r="C85" s="14" t="s">
        <v>290</v>
      </c>
      <c r="D85" s="13" t="s">
        <v>166</v>
      </c>
      <c r="E85" s="15" t="str">
        <f>B85</f>
        <v>Androgenic steroids</v>
      </c>
      <c r="F85" s="12">
        <f>DATE(2020,5,24)</f>
        <v>43975</v>
      </c>
      <c r="G85" s="13" t="s">
        <v>174</v>
      </c>
      <c r="H85" s="13">
        <v>1</v>
      </c>
      <c r="I85" s="15" t="s">
        <v>45</v>
      </c>
      <c r="J85" s="15" t="s">
        <v>291</v>
      </c>
    </row>
    <row r="86" spans="1:35" s="14" customFormat="1" ht="12" customHeight="1" x14ac:dyDescent="0.25">
      <c r="A86" s="9">
        <v>84</v>
      </c>
      <c r="B86" s="14" t="s">
        <v>292</v>
      </c>
      <c r="C86" s="14" t="s">
        <v>188</v>
      </c>
      <c r="D86" s="13" t="s">
        <v>166</v>
      </c>
      <c r="E86" s="15" t="str">
        <f>B86</f>
        <v>Androstenedione</v>
      </c>
      <c r="F86" s="12">
        <f>DATE(2020,5,24)</f>
        <v>43975</v>
      </c>
      <c r="G86" s="13" t="s">
        <v>63</v>
      </c>
      <c r="H86" s="13">
        <v>1</v>
      </c>
      <c r="I86" s="15" t="s">
        <v>293</v>
      </c>
      <c r="J86" s="15" t="s">
        <v>294</v>
      </c>
    </row>
    <row r="87" spans="1:35" s="14" customFormat="1" ht="12" customHeight="1" x14ac:dyDescent="0.25">
      <c r="A87" s="9">
        <v>85</v>
      </c>
      <c r="B87" s="14" t="s">
        <v>295</v>
      </c>
      <c r="C87" s="14" t="s">
        <v>296</v>
      </c>
      <c r="D87" s="13" t="s">
        <v>36</v>
      </c>
      <c r="E87" s="15" t="s">
        <v>297</v>
      </c>
      <c r="F87" s="12">
        <f>DATE(2017,7,5)</f>
        <v>42921</v>
      </c>
      <c r="G87" s="13">
        <v>2006</v>
      </c>
      <c r="H87" s="13">
        <v>1</v>
      </c>
      <c r="I87" s="15" t="s">
        <v>15</v>
      </c>
      <c r="J87" s="15" t="s">
        <v>271</v>
      </c>
    </row>
    <row r="88" spans="1:35" s="14" customFormat="1" ht="12" customHeight="1" x14ac:dyDescent="0.25">
      <c r="A88" s="9">
        <v>86</v>
      </c>
      <c r="B88" s="14" t="s">
        <v>298</v>
      </c>
      <c r="C88" s="14" t="s">
        <v>299</v>
      </c>
      <c r="D88" s="13" t="s">
        <v>31</v>
      </c>
      <c r="E88" s="15" t="s">
        <v>298</v>
      </c>
      <c r="F88" s="12">
        <f>DATE(2023,9,20)</f>
        <v>45189</v>
      </c>
      <c r="G88" s="16">
        <v>2021</v>
      </c>
      <c r="H88" s="13">
        <v>1</v>
      </c>
      <c r="I88" s="15" t="s">
        <v>19</v>
      </c>
      <c r="J88" s="15" t="s">
        <v>300</v>
      </c>
    </row>
    <row r="89" spans="1:35" s="14" customFormat="1" ht="12" customHeight="1" x14ac:dyDescent="0.25">
      <c r="A89" s="9">
        <v>87</v>
      </c>
      <c r="B89" s="14" t="s">
        <v>301</v>
      </c>
      <c r="C89" s="14" t="s">
        <v>302</v>
      </c>
      <c r="D89" s="13" t="s">
        <v>23</v>
      </c>
      <c r="E89" s="15" t="str">
        <f t="shared" ref="E89:E95" si="1">B89</f>
        <v>Antithymocyte globulin</v>
      </c>
      <c r="F89" s="12">
        <f>DATE(2017,7,21)</f>
        <v>42937</v>
      </c>
      <c r="G89" s="13" t="s">
        <v>63</v>
      </c>
      <c r="H89" s="13">
        <v>1</v>
      </c>
      <c r="I89" s="15" t="s">
        <v>230</v>
      </c>
      <c r="J89" s="15" t="s">
        <v>303</v>
      </c>
    </row>
    <row r="90" spans="1:35" s="14" customFormat="1" ht="12" customHeight="1" x14ac:dyDescent="0.25">
      <c r="A90" s="9">
        <v>88</v>
      </c>
      <c r="B90" s="14" t="s">
        <v>304</v>
      </c>
      <c r="C90" s="14" t="s">
        <v>305</v>
      </c>
      <c r="D90" s="13" t="s">
        <v>31</v>
      </c>
      <c r="E90" s="15" t="str">
        <f t="shared" si="1"/>
        <v>Apalutamide</v>
      </c>
      <c r="F90" s="12">
        <f>DATE(2023,3,15)</f>
        <v>45000</v>
      </c>
      <c r="G90" s="13">
        <v>2018</v>
      </c>
      <c r="H90" s="13">
        <v>1</v>
      </c>
      <c r="I90" s="15" t="s">
        <v>24</v>
      </c>
      <c r="J90" s="15" t="s">
        <v>28</v>
      </c>
    </row>
    <row r="91" spans="1:35" s="14" customFormat="1" ht="12" customHeight="1" x14ac:dyDescent="0.25">
      <c r="A91" s="9">
        <v>89</v>
      </c>
      <c r="B91" s="14" t="s">
        <v>306</v>
      </c>
      <c r="C91" s="14" t="s">
        <v>307</v>
      </c>
      <c r="D91" s="13" t="s">
        <v>44</v>
      </c>
      <c r="E91" s="15" t="str">
        <f t="shared" si="1"/>
        <v>Apixaban</v>
      </c>
      <c r="F91" s="12">
        <f>DATE(2023,2,10)</f>
        <v>44967</v>
      </c>
      <c r="G91" s="13">
        <v>2012</v>
      </c>
      <c r="H91" s="13">
        <v>1</v>
      </c>
      <c r="I91" s="15" t="s">
        <v>230</v>
      </c>
      <c r="J91" s="15" t="s">
        <v>308</v>
      </c>
    </row>
    <row r="92" spans="1:35" s="14" customFormat="1" ht="12" customHeight="1" x14ac:dyDescent="0.3">
      <c r="A92" s="9">
        <v>90</v>
      </c>
      <c r="B92" s="15" t="s">
        <v>309</v>
      </c>
      <c r="C92" s="19" t="s">
        <v>310</v>
      </c>
      <c r="D92" s="13" t="s">
        <v>31</v>
      </c>
      <c r="E92" s="15" t="str">
        <f t="shared" si="1"/>
        <v>Apoaequorin</v>
      </c>
      <c r="F92" s="12">
        <f>DATE(2019,11,5)</f>
        <v>43774</v>
      </c>
      <c r="G92" s="13" t="s">
        <v>174</v>
      </c>
      <c r="H92" s="13">
        <v>1</v>
      </c>
      <c r="I92" s="15" t="s">
        <v>190</v>
      </c>
      <c r="J92" s="15" t="s">
        <v>311</v>
      </c>
    </row>
    <row r="93" spans="1:35" s="14" customFormat="1" ht="12" customHeight="1" x14ac:dyDescent="0.25">
      <c r="A93" s="9">
        <v>91</v>
      </c>
      <c r="B93" s="14" t="s">
        <v>312</v>
      </c>
      <c r="C93" s="14" t="s">
        <v>313</v>
      </c>
      <c r="D93" s="13" t="s">
        <v>31</v>
      </c>
      <c r="E93" s="15" t="str">
        <f t="shared" si="1"/>
        <v>Apomorphine</v>
      </c>
      <c r="F93" s="12">
        <f>DATE(2017,7,20)</f>
        <v>42936</v>
      </c>
      <c r="G93" s="13">
        <v>2004</v>
      </c>
      <c r="H93" s="13">
        <v>1</v>
      </c>
      <c r="I93" s="15" t="s">
        <v>100</v>
      </c>
      <c r="J93" s="15" t="s">
        <v>210</v>
      </c>
    </row>
    <row r="94" spans="1:35" s="14" customFormat="1" ht="12" customHeight="1" x14ac:dyDescent="0.25">
      <c r="A94" s="9">
        <v>92</v>
      </c>
      <c r="B94" s="14" t="s">
        <v>314</v>
      </c>
      <c r="C94" s="14" t="s">
        <v>315</v>
      </c>
      <c r="D94" s="13" t="s">
        <v>31</v>
      </c>
      <c r="E94" s="15" t="str">
        <f t="shared" si="1"/>
        <v>Apremilast</v>
      </c>
      <c r="F94" s="12">
        <f>DATE(2017,7,25)</f>
        <v>42941</v>
      </c>
      <c r="G94" s="13">
        <v>2014</v>
      </c>
      <c r="H94" s="13">
        <v>1</v>
      </c>
      <c r="I94" s="15" t="s">
        <v>32</v>
      </c>
      <c r="J94" s="15" t="s">
        <v>70</v>
      </c>
    </row>
    <row r="95" spans="1:35" s="14" customFormat="1" ht="12" customHeight="1" x14ac:dyDescent="0.25">
      <c r="A95" s="9">
        <v>93</v>
      </c>
      <c r="B95" s="14" t="s">
        <v>316</v>
      </c>
      <c r="C95" s="14" t="s">
        <v>317</v>
      </c>
      <c r="D95" s="13" t="s">
        <v>31</v>
      </c>
      <c r="E95" s="15" t="str">
        <f t="shared" si="1"/>
        <v>Aprepitant</v>
      </c>
      <c r="F95" s="12">
        <f>DATE(2024,2,28)</f>
        <v>45350</v>
      </c>
      <c r="G95" s="13">
        <v>2003</v>
      </c>
      <c r="H95" s="13">
        <v>1</v>
      </c>
      <c r="I95" s="15" t="s">
        <v>182</v>
      </c>
      <c r="J95" s="15" t="s">
        <v>318</v>
      </c>
    </row>
    <row r="96" spans="1:35" s="14" customFormat="1" ht="12" customHeight="1" x14ac:dyDescent="0.25">
      <c r="A96" s="9">
        <v>94</v>
      </c>
      <c r="B96" s="14" t="s">
        <v>319</v>
      </c>
      <c r="C96" s="14" t="s">
        <v>320</v>
      </c>
      <c r="D96" s="13" t="s">
        <v>77</v>
      </c>
      <c r="E96" s="14" t="s">
        <v>319</v>
      </c>
      <c r="F96" s="12"/>
      <c r="G96" s="13">
        <v>2024</v>
      </c>
      <c r="H96" s="13">
        <v>0</v>
      </c>
      <c r="I96" s="14" t="s">
        <v>49</v>
      </c>
      <c r="J96" s="14" t="s">
        <v>321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s="14" customFormat="1" ht="12" customHeight="1" x14ac:dyDescent="0.25">
      <c r="A97" s="9">
        <v>95</v>
      </c>
      <c r="B97" s="14" t="s">
        <v>322</v>
      </c>
      <c r="C97" s="14" t="s">
        <v>323</v>
      </c>
      <c r="D97" s="13" t="s">
        <v>77</v>
      </c>
      <c r="E97" s="14" t="s">
        <v>322</v>
      </c>
      <c r="F97" s="12"/>
      <c r="G97" s="13">
        <v>2024</v>
      </c>
      <c r="H97" s="13">
        <v>0</v>
      </c>
      <c r="I97" s="14" t="s">
        <v>324</v>
      </c>
      <c r="J97" s="14" t="s">
        <v>325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s="14" customFormat="1" ht="12" customHeight="1" x14ac:dyDescent="0.25">
      <c r="A98" s="9">
        <v>96</v>
      </c>
      <c r="B98" s="14" t="s">
        <v>326</v>
      </c>
      <c r="C98" s="14" t="s">
        <v>327</v>
      </c>
      <c r="D98" s="13" t="s">
        <v>36</v>
      </c>
      <c r="E98" s="15" t="str">
        <f>B98</f>
        <v>Aripiprazole</v>
      </c>
      <c r="F98" s="12">
        <f>DATE(2023,6,5)</f>
        <v>45082</v>
      </c>
      <c r="G98" s="13">
        <v>2002</v>
      </c>
      <c r="H98" s="13">
        <v>1</v>
      </c>
      <c r="I98" s="15" t="s">
        <v>100</v>
      </c>
      <c r="J98" s="15" t="s">
        <v>328</v>
      </c>
    </row>
    <row r="99" spans="1:35" s="14" customFormat="1" ht="12" customHeight="1" x14ac:dyDescent="0.25">
      <c r="A99" s="9">
        <v>97</v>
      </c>
      <c r="B99" s="14" t="s">
        <v>329</v>
      </c>
      <c r="C99" s="14" t="s">
        <v>330</v>
      </c>
      <c r="D99" s="13" t="s">
        <v>31</v>
      </c>
      <c r="E99" s="15" t="s">
        <v>331</v>
      </c>
      <c r="F99" s="12">
        <f>DATE(2021,8,18)</f>
        <v>44426</v>
      </c>
      <c r="G99" s="13">
        <v>2007</v>
      </c>
      <c r="H99" s="13">
        <v>1</v>
      </c>
      <c r="I99" s="15" t="s">
        <v>100</v>
      </c>
      <c r="J99" s="15" t="s">
        <v>268</v>
      </c>
    </row>
    <row r="100" spans="1:35" s="14" customFormat="1" ht="12" customHeight="1" x14ac:dyDescent="0.25">
      <c r="A100" s="9">
        <v>98</v>
      </c>
      <c r="B100" s="15" t="s">
        <v>332</v>
      </c>
      <c r="C100" s="15" t="s">
        <v>188</v>
      </c>
      <c r="D100" s="13" t="s">
        <v>31</v>
      </c>
      <c r="E100" s="15" t="s">
        <v>332</v>
      </c>
      <c r="F100" s="22">
        <f>DATE(2023,3,3)</f>
        <v>44988</v>
      </c>
      <c r="G100" s="13" t="s">
        <v>174</v>
      </c>
      <c r="H100" s="13">
        <v>1</v>
      </c>
      <c r="I100" s="15" t="s">
        <v>175</v>
      </c>
      <c r="J100" s="15" t="s">
        <v>333</v>
      </c>
    </row>
    <row r="101" spans="1:35" s="14" customFormat="1" ht="12" customHeight="1" x14ac:dyDescent="0.25">
      <c r="A101" s="9">
        <v>99</v>
      </c>
      <c r="B101" s="14" t="s">
        <v>334</v>
      </c>
      <c r="C101" s="14" t="s">
        <v>335</v>
      </c>
      <c r="D101" s="13" t="s">
        <v>53</v>
      </c>
      <c r="E101" s="15" t="str">
        <f>B101</f>
        <v>Arsenic</v>
      </c>
      <c r="F101" s="12">
        <f>DATE(2017,7,5)</f>
        <v>42921</v>
      </c>
      <c r="G101" s="13" t="s">
        <v>174</v>
      </c>
      <c r="H101" s="13">
        <v>1</v>
      </c>
      <c r="I101" s="15" t="s">
        <v>66</v>
      </c>
      <c r="J101" s="15" t="s">
        <v>336</v>
      </c>
    </row>
    <row r="102" spans="1:35" s="14" customFormat="1" ht="12" customHeight="1" x14ac:dyDescent="0.25">
      <c r="A102" s="9">
        <v>100</v>
      </c>
      <c r="B102" s="14" t="s">
        <v>337</v>
      </c>
      <c r="C102" s="14" t="s">
        <v>338</v>
      </c>
      <c r="D102" s="16" t="s">
        <v>31</v>
      </c>
      <c r="E102" s="15" t="s">
        <v>339</v>
      </c>
      <c r="F102" s="12">
        <f>DATE(2017,1,20)</f>
        <v>42755</v>
      </c>
      <c r="G102" s="13">
        <v>2000</v>
      </c>
      <c r="H102" s="13">
        <v>1</v>
      </c>
      <c r="I102" s="15" t="s">
        <v>100</v>
      </c>
      <c r="J102" s="15" t="s">
        <v>340</v>
      </c>
    </row>
    <row r="103" spans="1:35" s="14" customFormat="1" ht="12" customHeight="1" x14ac:dyDescent="0.25">
      <c r="A103" s="9">
        <v>101</v>
      </c>
      <c r="B103" s="14" t="s">
        <v>341</v>
      </c>
      <c r="C103" s="14" t="s">
        <v>342</v>
      </c>
      <c r="D103" s="13" t="s">
        <v>36</v>
      </c>
      <c r="E103" s="15" t="str">
        <f>B103</f>
        <v>Artemisinin</v>
      </c>
      <c r="F103" s="12">
        <f>DATE(2017,2,1)</f>
        <v>42767</v>
      </c>
      <c r="G103" s="13">
        <v>2008</v>
      </c>
      <c r="H103" s="13">
        <v>1</v>
      </c>
      <c r="I103" s="15" t="s">
        <v>15</v>
      </c>
      <c r="J103" s="15" t="s">
        <v>261</v>
      </c>
    </row>
    <row r="104" spans="1:35" s="14" customFormat="1" ht="12" customHeight="1" x14ac:dyDescent="0.25">
      <c r="A104" s="9">
        <v>102</v>
      </c>
      <c r="B104" s="14" t="s">
        <v>343</v>
      </c>
      <c r="C104" s="14" t="s">
        <v>343</v>
      </c>
      <c r="D104" s="13" t="s">
        <v>31</v>
      </c>
      <c r="E104" s="15" t="s">
        <v>343</v>
      </c>
      <c r="F104" s="12">
        <f>DATE(2024,5,14)</f>
        <v>45426</v>
      </c>
      <c r="G104" s="16">
        <v>2020</v>
      </c>
      <c r="H104" s="13">
        <v>1</v>
      </c>
      <c r="I104" s="15" t="s">
        <v>15</v>
      </c>
      <c r="J104" s="15" t="s">
        <v>344</v>
      </c>
    </row>
    <row r="105" spans="1:35" s="14" customFormat="1" ht="12" customHeight="1" x14ac:dyDescent="0.25">
      <c r="A105" s="9">
        <v>103</v>
      </c>
      <c r="B105" s="14" t="s">
        <v>345</v>
      </c>
      <c r="C105" s="14" t="s">
        <v>346</v>
      </c>
      <c r="D105" s="13" t="s">
        <v>23</v>
      </c>
      <c r="E105" s="15" t="s">
        <v>345</v>
      </c>
      <c r="F105" s="18">
        <f>DATE(2023,10,2)</f>
        <v>45201</v>
      </c>
      <c r="G105" s="16">
        <v>2021</v>
      </c>
      <c r="H105" s="13">
        <v>1</v>
      </c>
      <c r="I105" s="15" t="s">
        <v>24</v>
      </c>
      <c r="J105" s="15" t="s">
        <v>347</v>
      </c>
    </row>
    <row r="106" spans="1:35" s="14" customFormat="1" ht="12" customHeight="1" x14ac:dyDescent="0.25">
      <c r="A106" s="9">
        <v>104</v>
      </c>
      <c r="B106" s="14" t="s">
        <v>348</v>
      </c>
      <c r="C106" s="14" t="s">
        <v>349</v>
      </c>
      <c r="D106" s="13" t="s">
        <v>31</v>
      </c>
      <c r="E106" s="15" t="s">
        <v>350</v>
      </c>
      <c r="F106" s="12">
        <f>DATE(2021,5,23)</f>
        <v>44339</v>
      </c>
      <c r="G106" s="13" t="s">
        <v>174</v>
      </c>
      <c r="H106" s="13">
        <v>1</v>
      </c>
      <c r="I106" s="15" t="s">
        <v>190</v>
      </c>
      <c r="J106" s="15" t="s">
        <v>198</v>
      </c>
    </row>
    <row r="107" spans="1:35" s="14" customFormat="1" ht="12" customHeight="1" x14ac:dyDescent="0.25">
      <c r="A107" s="9">
        <v>105</v>
      </c>
      <c r="B107" s="14" t="s">
        <v>351</v>
      </c>
      <c r="C107" s="14" t="s">
        <v>352</v>
      </c>
      <c r="D107" s="13" t="s">
        <v>36</v>
      </c>
      <c r="E107" s="15" t="str">
        <f>B107</f>
        <v>Asenapine</v>
      </c>
      <c r="F107" s="12">
        <f>DATE(2023,6,5)</f>
        <v>45082</v>
      </c>
      <c r="G107" s="13">
        <v>2009</v>
      </c>
      <c r="H107" s="13">
        <v>1</v>
      </c>
      <c r="I107" s="15" t="s">
        <v>100</v>
      </c>
      <c r="J107" s="15" t="s">
        <v>328</v>
      </c>
    </row>
    <row r="108" spans="1:35" s="14" customFormat="1" ht="12" customHeight="1" x14ac:dyDescent="0.25">
      <c r="A108" s="9">
        <v>106</v>
      </c>
      <c r="B108" s="14" t="s">
        <v>353</v>
      </c>
      <c r="C108" s="14" t="s">
        <v>188</v>
      </c>
      <c r="D108" s="13" t="s">
        <v>44</v>
      </c>
      <c r="E108" s="15" t="str">
        <f>B108</f>
        <v>Ashwagandha</v>
      </c>
      <c r="F108" s="12">
        <f>DATE(2024,12,3)</f>
        <v>45629</v>
      </c>
      <c r="G108" s="13" t="s">
        <v>174</v>
      </c>
      <c r="H108" s="13">
        <v>1</v>
      </c>
      <c r="I108" s="15" t="s">
        <v>175</v>
      </c>
      <c r="J108" s="15" t="s">
        <v>354</v>
      </c>
    </row>
    <row r="109" spans="1:35" s="14" customFormat="1" ht="12" customHeight="1" x14ac:dyDescent="0.25">
      <c r="A109" s="9">
        <v>107</v>
      </c>
      <c r="B109" s="14" t="s">
        <v>355</v>
      </c>
      <c r="C109" s="14" t="s">
        <v>356</v>
      </c>
      <c r="D109" s="13" t="s">
        <v>166</v>
      </c>
      <c r="E109" s="15" t="str">
        <f>B109</f>
        <v>Asparaginase</v>
      </c>
      <c r="F109" s="12">
        <f>DATE(2023,9,10)</f>
        <v>45179</v>
      </c>
      <c r="G109" s="13">
        <v>1994</v>
      </c>
      <c r="H109" s="13">
        <v>1</v>
      </c>
      <c r="I109" s="15" t="s">
        <v>24</v>
      </c>
      <c r="J109" s="15" t="s">
        <v>357</v>
      </c>
    </row>
    <row r="110" spans="1:35" s="14" customFormat="1" ht="12" customHeight="1" x14ac:dyDescent="0.25">
      <c r="A110" s="9">
        <v>108</v>
      </c>
      <c r="B110" s="14" t="s">
        <v>358</v>
      </c>
      <c r="C110" s="14" t="s">
        <v>359</v>
      </c>
      <c r="D110" s="13" t="s">
        <v>23</v>
      </c>
      <c r="E110" s="15" t="s">
        <v>355</v>
      </c>
      <c r="F110" s="20">
        <f>DATE(2023,9,10)</f>
        <v>45179</v>
      </c>
      <c r="G110" s="16">
        <v>2021</v>
      </c>
      <c r="H110" s="13">
        <v>1</v>
      </c>
      <c r="I110" s="15" t="s">
        <v>24</v>
      </c>
      <c r="J110" s="15" t="s">
        <v>360</v>
      </c>
    </row>
    <row r="111" spans="1:35" s="14" customFormat="1" ht="12" customHeight="1" x14ac:dyDescent="0.25">
      <c r="A111" s="9">
        <v>109</v>
      </c>
      <c r="B111" s="14" t="s">
        <v>361</v>
      </c>
      <c r="C111" s="14" t="s">
        <v>361</v>
      </c>
      <c r="D111" s="13" t="s">
        <v>53</v>
      </c>
      <c r="E111" s="15" t="str">
        <f>B111</f>
        <v>Aspirin</v>
      </c>
      <c r="F111" s="12">
        <f>DATE(2017,8,2)</f>
        <v>42949</v>
      </c>
      <c r="G111" s="13">
        <v>1965</v>
      </c>
      <c r="H111" s="13">
        <v>1</v>
      </c>
      <c r="I111" s="15" t="s">
        <v>54</v>
      </c>
      <c r="J111" s="15" t="s">
        <v>55</v>
      </c>
    </row>
    <row r="112" spans="1:35" s="14" customFormat="1" ht="12" customHeight="1" x14ac:dyDescent="0.3">
      <c r="A112" s="9">
        <v>110</v>
      </c>
      <c r="B112" s="14" t="s">
        <v>362</v>
      </c>
      <c r="C112" s="23" t="s">
        <v>188</v>
      </c>
      <c r="D112" s="13" t="s">
        <v>31</v>
      </c>
      <c r="E112" s="15" t="str">
        <f>B112</f>
        <v>Astralgus</v>
      </c>
      <c r="F112" s="12">
        <f>DATE(2019,3,8)</f>
        <v>43532</v>
      </c>
      <c r="G112" s="13" t="s">
        <v>174</v>
      </c>
      <c r="H112" s="13">
        <v>1</v>
      </c>
      <c r="I112" s="15" t="s">
        <v>175</v>
      </c>
      <c r="J112" s="15" t="s">
        <v>363</v>
      </c>
    </row>
    <row r="113" spans="1:35" s="14" customFormat="1" ht="12" customHeight="1" x14ac:dyDescent="0.25">
      <c r="A113" s="9">
        <v>111</v>
      </c>
      <c r="B113" s="14" t="s">
        <v>364</v>
      </c>
      <c r="C113" s="14" t="s">
        <v>364</v>
      </c>
      <c r="D113" s="13" t="s">
        <v>14</v>
      </c>
      <c r="E113" s="15" t="s">
        <v>365</v>
      </c>
      <c r="F113" s="18">
        <f>DATE(2017,7,27)</f>
        <v>42943</v>
      </c>
      <c r="G113" s="13" t="s">
        <v>335</v>
      </c>
      <c r="H113" s="13">
        <v>1</v>
      </c>
      <c r="I113" s="15" t="s">
        <v>15</v>
      </c>
      <c r="J113" s="15" t="s">
        <v>366</v>
      </c>
    </row>
    <row r="114" spans="1:35" s="14" customFormat="1" ht="12" customHeight="1" x14ac:dyDescent="0.25">
      <c r="A114" s="9">
        <v>112</v>
      </c>
      <c r="B114" s="14" t="s">
        <v>367</v>
      </c>
      <c r="C114" s="14" t="s">
        <v>368</v>
      </c>
      <c r="D114" s="13" t="s">
        <v>36</v>
      </c>
      <c r="E114" s="15" t="str">
        <f>B114</f>
        <v>Atazanavir</v>
      </c>
      <c r="F114" s="12">
        <f>DATE(2017,8,11)</f>
        <v>42958</v>
      </c>
      <c r="G114" s="13">
        <v>2003</v>
      </c>
      <c r="H114" s="13">
        <v>1</v>
      </c>
      <c r="I114" s="15" t="s">
        <v>15</v>
      </c>
      <c r="J114" s="15" t="s">
        <v>16</v>
      </c>
    </row>
    <row r="115" spans="1:35" s="14" customFormat="1" ht="12" customHeight="1" x14ac:dyDescent="0.25">
      <c r="A115" s="9">
        <v>113</v>
      </c>
      <c r="B115" s="14" t="s">
        <v>369</v>
      </c>
      <c r="C115" s="14" t="s">
        <v>370</v>
      </c>
      <c r="D115" s="13" t="s">
        <v>36</v>
      </c>
      <c r="E115" s="15" t="str">
        <f>B115</f>
        <v>Atenolol</v>
      </c>
      <c r="F115" s="12">
        <f>DATE(2019,5,3)</f>
        <v>43588</v>
      </c>
      <c r="G115" s="13">
        <v>1981</v>
      </c>
      <c r="H115" s="13">
        <v>1</v>
      </c>
      <c r="I115" s="15" t="s">
        <v>49</v>
      </c>
      <c r="J115" s="15" t="s">
        <v>50</v>
      </c>
    </row>
    <row r="116" spans="1:35" s="14" customFormat="1" ht="12" customHeight="1" x14ac:dyDescent="0.25">
      <c r="A116" s="9">
        <v>114</v>
      </c>
      <c r="B116" s="14" t="s">
        <v>371</v>
      </c>
      <c r="C116" s="14" t="s">
        <v>372</v>
      </c>
      <c r="D116" s="13" t="s">
        <v>44</v>
      </c>
      <c r="E116" s="15" t="str">
        <f>B116</f>
        <v>Atezolizumab</v>
      </c>
      <c r="F116" s="12">
        <f>DATE(2022,6,23)</f>
        <v>44735</v>
      </c>
      <c r="G116" s="13">
        <v>2016</v>
      </c>
      <c r="H116" s="13">
        <v>1</v>
      </c>
      <c r="I116" s="15" t="s">
        <v>24</v>
      </c>
      <c r="J116" s="15" t="s">
        <v>373</v>
      </c>
    </row>
    <row r="117" spans="1:35" s="13" customFormat="1" ht="12" customHeight="1" x14ac:dyDescent="0.25">
      <c r="A117" s="9">
        <v>115</v>
      </c>
      <c r="B117" s="14" t="s">
        <v>374</v>
      </c>
      <c r="C117" s="14" t="s">
        <v>375</v>
      </c>
      <c r="D117" s="13" t="s">
        <v>77</v>
      </c>
      <c r="E117" s="15" t="s">
        <v>374</v>
      </c>
      <c r="F117" s="20">
        <f>DATE(2025,1,12)</f>
        <v>45669</v>
      </c>
      <c r="G117" s="16">
        <v>2021</v>
      </c>
      <c r="H117" s="13">
        <v>1</v>
      </c>
      <c r="I117" s="15" t="s">
        <v>100</v>
      </c>
      <c r="J117" s="15" t="s">
        <v>376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spans="1:35" s="14" customFormat="1" ht="12" customHeight="1" x14ac:dyDescent="0.25">
      <c r="A118" s="9">
        <v>116</v>
      </c>
      <c r="B118" s="14" t="s">
        <v>377</v>
      </c>
      <c r="C118" s="14" t="s">
        <v>378</v>
      </c>
      <c r="D118" s="13" t="s">
        <v>31</v>
      </c>
      <c r="E118" s="15" t="s">
        <v>379</v>
      </c>
      <c r="F118" s="12">
        <f>DATE(2024,6,14)</f>
        <v>45457</v>
      </c>
      <c r="G118" s="13">
        <v>2020</v>
      </c>
      <c r="H118" s="13">
        <v>1</v>
      </c>
      <c r="I118" s="15" t="s">
        <v>15</v>
      </c>
      <c r="J118" s="15" t="s">
        <v>380</v>
      </c>
    </row>
    <row r="119" spans="1:35" s="14" customFormat="1" ht="12" customHeight="1" x14ac:dyDescent="0.25">
      <c r="A119" s="9">
        <v>117</v>
      </c>
      <c r="B119" s="14" t="s">
        <v>381</v>
      </c>
      <c r="C119" s="14" t="s">
        <v>382</v>
      </c>
      <c r="D119" s="13" t="s">
        <v>14</v>
      </c>
      <c r="E119" s="15" t="str">
        <f>B119</f>
        <v>Atomoxetine</v>
      </c>
      <c r="F119" s="12">
        <f>DATE(2017,8,2)</f>
        <v>42949</v>
      </c>
      <c r="G119" s="13">
        <v>2002</v>
      </c>
      <c r="H119" s="13">
        <v>1</v>
      </c>
      <c r="I119" s="15" t="s">
        <v>100</v>
      </c>
      <c r="J119" s="15" t="s">
        <v>383</v>
      </c>
    </row>
    <row r="120" spans="1:35" s="14" customFormat="1" ht="12" customHeight="1" x14ac:dyDescent="0.25">
      <c r="A120" s="9">
        <v>118</v>
      </c>
      <c r="B120" s="14" t="s">
        <v>384</v>
      </c>
      <c r="C120" s="14" t="s">
        <v>385</v>
      </c>
      <c r="D120" s="13" t="s">
        <v>166</v>
      </c>
      <c r="E120" s="15" t="str">
        <f>B120</f>
        <v>Atorvastatin</v>
      </c>
      <c r="F120" s="12">
        <f>DATE(2025,3,20)</f>
        <v>45736</v>
      </c>
      <c r="G120" s="13">
        <v>1996</v>
      </c>
      <c r="H120" s="13">
        <v>1</v>
      </c>
      <c r="I120" s="15" t="s">
        <v>49</v>
      </c>
      <c r="J120" s="15" t="s">
        <v>161</v>
      </c>
    </row>
    <row r="121" spans="1:35" s="14" customFormat="1" ht="12" customHeight="1" x14ac:dyDescent="0.25">
      <c r="A121" s="9">
        <v>119</v>
      </c>
      <c r="B121" s="14" t="s">
        <v>386</v>
      </c>
      <c r="C121" s="14" t="s">
        <v>387</v>
      </c>
      <c r="D121" s="13" t="s">
        <v>36</v>
      </c>
      <c r="E121" s="15" t="str">
        <f>B121</f>
        <v>Atovaquone</v>
      </c>
      <c r="F121" s="12">
        <f>DATE(2017,2,1)</f>
        <v>42767</v>
      </c>
      <c r="G121" s="13">
        <v>1992</v>
      </c>
      <c r="H121" s="13">
        <v>1</v>
      </c>
      <c r="I121" s="15" t="s">
        <v>15</v>
      </c>
      <c r="J121" s="15" t="s">
        <v>261</v>
      </c>
    </row>
    <row r="122" spans="1:35" s="14" customFormat="1" ht="12" customHeight="1" x14ac:dyDescent="0.25">
      <c r="A122" s="9">
        <v>120</v>
      </c>
      <c r="B122" s="15" t="s">
        <v>388</v>
      </c>
      <c r="C122" s="15" t="s">
        <v>389</v>
      </c>
      <c r="D122" s="13" t="s">
        <v>31</v>
      </c>
      <c r="E122" s="14" t="s">
        <v>388</v>
      </c>
      <c r="F122" s="12">
        <f>DATE(2026,1,6)</f>
        <v>46028</v>
      </c>
      <c r="G122" s="13">
        <v>2025</v>
      </c>
      <c r="H122" s="13">
        <v>1</v>
      </c>
      <c r="I122" s="15" t="s">
        <v>390</v>
      </c>
      <c r="J122" s="13" t="s">
        <v>391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</row>
    <row r="123" spans="1:35" s="14" customFormat="1" ht="12" customHeight="1" x14ac:dyDescent="0.25">
      <c r="A123" s="9">
        <v>121</v>
      </c>
      <c r="B123" s="14" t="s">
        <v>392</v>
      </c>
      <c r="C123" s="14" t="s">
        <v>393</v>
      </c>
      <c r="D123" s="13" t="s">
        <v>31</v>
      </c>
      <c r="E123" s="15" t="str">
        <f>B123</f>
        <v>Atropine</v>
      </c>
      <c r="F123" s="12">
        <f>DATE(2017,7,27)</f>
        <v>42943</v>
      </c>
      <c r="G123" s="13" t="s">
        <v>63</v>
      </c>
      <c r="H123" s="13">
        <v>1</v>
      </c>
      <c r="I123" s="15" t="s">
        <v>49</v>
      </c>
      <c r="J123" s="15" t="s">
        <v>394</v>
      </c>
    </row>
    <row r="124" spans="1:35" s="14" customFormat="1" ht="12" customHeight="1" x14ac:dyDescent="0.25">
      <c r="A124" s="9">
        <v>122</v>
      </c>
      <c r="B124" s="14" t="s">
        <v>395</v>
      </c>
      <c r="C124" s="14" t="s">
        <v>396</v>
      </c>
      <c r="D124" s="13" t="s">
        <v>31</v>
      </c>
      <c r="E124" s="15" t="str">
        <f>B124</f>
        <v>Attapulgite</v>
      </c>
      <c r="F124" s="12"/>
      <c r="G124" s="13" t="s">
        <v>174</v>
      </c>
      <c r="H124" s="13">
        <v>0</v>
      </c>
      <c r="I124" s="15" t="s">
        <v>182</v>
      </c>
      <c r="J124" s="15" t="s">
        <v>397</v>
      </c>
    </row>
    <row r="125" spans="1:35" s="14" customFormat="1" ht="12" customHeight="1" x14ac:dyDescent="0.25">
      <c r="A125" s="9">
        <v>123</v>
      </c>
      <c r="B125" s="14" t="s">
        <v>398</v>
      </c>
      <c r="C125" s="14" t="s">
        <v>399</v>
      </c>
      <c r="D125" s="13" t="s">
        <v>31</v>
      </c>
      <c r="E125" s="15" t="e">
        <f>#REF!</f>
        <v>#REF!</v>
      </c>
      <c r="F125" s="20">
        <f>DATE(2017,8,2)</f>
        <v>42949</v>
      </c>
      <c r="G125" s="13">
        <v>1985</v>
      </c>
      <c r="H125" s="13">
        <v>1</v>
      </c>
      <c r="I125" s="15" t="s">
        <v>19</v>
      </c>
      <c r="J125" s="15" t="s">
        <v>400</v>
      </c>
    </row>
    <row r="126" spans="1:35" s="14" customFormat="1" ht="12" customHeight="1" x14ac:dyDescent="0.25">
      <c r="A126" s="9">
        <v>124</v>
      </c>
      <c r="B126" s="14" t="s">
        <v>401</v>
      </c>
      <c r="C126" s="14" t="s">
        <v>402</v>
      </c>
      <c r="D126" s="13" t="s">
        <v>166</v>
      </c>
      <c r="E126" s="15" t="s">
        <v>403</v>
      </c>
      <c r="F126" s="12">
        <f>DATE(2017,8,2)</f>
        <v>42949</v>
      </c>
      <c r="G126" s="13" t="s">
        <v>63</v>
      </c>
      <c r="H126" s="13">
        <v>1</v>
      </c>
      <c r="I126" s="15" t="s">
        <v>19</v>
      </c>
      <c r="J126" s="15" t="s">
        <v>400</v>
      </c>
    </row>
    <row r="127" spans="1:35" s="14" customFormat="1" ht="12" customHeight="1" x14ac:dyDescent="0.25">
      <c r="A127" s="9">
        <v>125</v>
      </c>
      <c r="B127" s="14" t="s">
        <v>404</v>
      </c>
      <c r="C127" s="14" t="s">
        <v>405</v>
      </c>
      <c r="D127" s="13" t="s">
        <v>31</v>
      </c>
      <c r="E127" s="14" t="s">
        <v>114</v>
      </c>
      <c r="F127" s="12">
        <f>DATE(2024,7,31)</f>
        <v>45504</v>
      </c>
      <c r="G127" s="13">
        <v>2023</v>
      </c>
      <c r="H127" s="13">
        <v>1</v>
      </c>
      <c r="I127" s="15" t="s">
        <v>78</v>
      </c>
      <c r="J127" s="15" t="s">
        <v>115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s="14" customFormat="1" ht="12" customHeight="1" x14ac:dyDescent="0.25">
      <c r="A128" s="9">
        <v>126</v>
      </c>
      <c r="B128" s="15" t="s">
        <v>406</v>
      </c>
      <c r="C128" s="14" t="s">
        <v>407</v>
      </c>
      <c r="D128" s="13" t="s">
        <v>14</v>
      </c>
      <c r="E128" s="15" t="s">
        <v>406</v>
      </c>
      <c r="F128" s="12">
        <f>DATE(2024,10,15)</f>
        <v>45580</v>
      </c>
      <c r="G128" s="13">
        <v>2021</v>
      </c>
      <c r="H128" s="13">
        <v>1</v>
      </c>
      <c r="I128" s="15" t="s">
        <v>19</v>
      </c>
      <c r="J128" s="15" t="s">
        <v>408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s="14" customFormat="1" ht="12" customHeight="1" x14ac:dyDescent="0.25">
      <c r="A129" s="9">
        <v>127</v>
      </c>
      <c r="B129" s="14" t="s">
        <v>409</v>
      </c>
      <c r="C129" s="14" t="s">
        <v>410</v>
      </c>
      <c r="D129" s="13" t="s">
        <v>77</v>
      </c>
      <c r="E129" s="15" t="s">
        <v>409</v>
      </c>
      <c r="F129" s="12"/>
      <c r="G129" s="16">
        <v>2021</v>
      </c>
      <c r="H129" s="13">
        <v>0</v>
      </c>
      <c r="I129" s="15" t="s">
        <v>104</v>
      </c>
      <c r="J129" s="15" t="s">
        <v>411</v>
      </c>
    </row>
    <row r="130" spans="1:35" s="14" customFormat="1" ht="12" customHeight="1" x14ac:dyDescent="0.25">
      <c r="A130" s="9">
        <v>128</v>
      </c>
      <c r="B130" s="14" t="s">
        <v>412</v>
      </c>
      <c r="C130" s="14" t="s">
        <v>413</v>
      </c>
      <c r="D130" s="13" t="s">
        <v>23</v>
      </c>
      <c r="E130" s="15" t="str">
        <f>B130</f>
        <v>Avanafil</v>
      </c>
      <c r="F130" s="12">
        <f>DATE(2017,8,3)</f>
        <v>42950</v>
      </c>
      <c r="G130" s="13">
        <v>2012</v>
      </c>
      <c r="H130" s="13">
        <v>1</v>
      </c>
      <c r="I130" s="15" t="s">
        <v>151</v>
      </c>
      <c r="J130" s="15" t="s">
        <v>414</v>
      </c>
    </row>
    <row r="131" spans="1:35" s="14" customFormat="1" ht="12" customHeight="1" x14ac:dyDescent="0.25">
      <c r="A131" s="9">
        <v>129</v>
      </c>
      <c r="B131" s="14" t="s">
        <v>415</v>
      </c>
      <c r="C131" s="14" t="s">
        <v>416</v>
      </c>
      <c r="D131" s="13" t="s">
        <v>23</v>
      </c>
      <c r="E131" s="15" t="str">
        <f>B131</f>
        <v>Avapritinib</v>
      </c>
      <c r="F131" s="12">
        <f>DATE(2023,9,2)</f>
        <v>45171</v>
      </c>
      <c r="G131" s="13">
        <v>2020</v>
      </c>
      <c r="H131" s="13">
        <v>1</v>
      </c>
      <c r="I131" s="15" t="s">
        <v>24</v>
      </c>
      <c r="J131" s="15" t="s">
        <v>417</v>
      </c>
    </row>
    <row r="132" spans="1:35" s="14" customFormat="1" ht="12" customHeight="1" x14ac:dyDescent="0.25">
      <c r="A132" s="9">
        <v>130</v>
      </c>
      <c r="B132" s="14" t="s">
        <v>418</v>
      </c>
      <c r="C132" s="14" t="s">
        <v>419</v>
      </c>
      <c r="D132" s="13" t="s">
        <v>23</v>
      </c>
      <c r="E132" s="15" t="s">
        <v>420</v>
      </c>
      <c r="F132" s="12">
        <f>DATE(2018,12,18)</f>
        <v>43452</v>
      </c>
      <c r="G132" s="13">
        <v>2018</v>
      </c>
      <c r="H132" s="13">
        <v>1</v>
      </c>
      <c r="I132" s="15" t="s">
        <v>230</v>
      </c>
      <c r="J132" s="15" t="s">
        <v>421</v>
      </c>
    </row>
    <row r="133" spans="1:35" s="14" customFormat="1" ht="12" customHeight="1" x14ac:dyDescent="0.25">
      <c r="A133" s="9">
        <v>131</v>
      </c>
      <c r="B133" s="14" t="s">
        <v>422</v>
      </c>
      <c r="C133" s="14" t="s">
        <v>423</v>
      </c>
      <c r="D133" s="13" t="s">
        <v>44</v>
      </c>
      <c r="E133" s="15" t="str">
        <f>B133</f>
        <v>Avelumab</v>
      </c>
      <c r="F133" s="12">
        <f>DATE(2022,6,23)</f>
        <v>44735</v>
      </c>
      <c r="G133" s="13">
        <v>2017</v>
      </c>
      <c r="H133" s="13">
        <v>1</v>
      </c>
      <c r="I133" s="15" t="s">
        <v>24</v>
      </c>
      <c r="J133" s="15" t="s">
        <v>424</v>
      </c>
    </row>
    <row r="134" spans="1:35" s="14" customFormat="1" ht="12" customHeight="1" x14ac:dyDescent="0.25">
      <c r="A134" s="9">
        <v>132</v>
      </c>
      <c r="B134" s="14" t="s">
        <v>425</v>
      </c>
      <c r="C134" s="14" t="s">
        <v>426</v>
      </c>
      <c r="D134" s="13" t="s">
        <v>31</v>
      </c>
      <c r="E134" s="15" t="s">
        <v>427</v>
      </c>
      <c r="F134" s="12">
        <f>DATE(2017,4,25)</f>
        <v>42850</v>
      </c>
      <c r="G134" s="13">
        <v>2015</v>
      </c>
      <c r="H134" s="13">
        <v>1</v>
      </c>
      <c r="I134" s="15" t="s">
        <v>15</v>
      </c>
      <c r="J134" s="15" t="s">
        <v>225</v>
      </c>
    </row>
    <row r="135" spans="1:35" s="14" customFormat="1" ht="12" customHeight="1" x14ac:dyDescent="0.3">
      <c r="A135" s="9">
        <v>133</v>
      </c>
      <c r="B135" s="14" t="s">
        <v>428</v>
      </c>
      <c r="C135" s="14" t="s">
        <v>429</v>
      </c>
      <c r="D135" s="13" t="s">
        <v>77</v>
      </c>
      <c r="E135" s="14" t="s">
        <v>428</v>
      </c>
      <c r="F135" s="9"/>
      <c r="G135" s="13">
        <v>2025</v>
      </c>
      <c r="H135" s="16">
        <v>0</v>
      </c>
      <c r="I135" s="14" t="s">
        <v>24</v>
      </c>
      <c r="J135" s="14" t="s">
        <v>430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</row>
    <row r="136" spans="1:35" s="14" customFormat="1" ht="12" customHeight="1" x14ac:dyDescent="0.25">
      <c r="A136" s="9">
        <v>134</v>
      </c>
      <c r="B136" s="15" t="s">
        <v>431</v>
      </c>
      <c r="C136" s="14" t="s">
        <v>432</v>
      </c>
      <c r="D136" s="13" t="s">
        <v>31</v>
      </c>
      <c r="E136" s="15" t="s">
        <v>431</v>
      </c>
      <c r="F136" s="20">
        <f>DATE(2024,11,7)</f>
        <v>45603</v>
      </c>
      <c r="G136" s="13">
        <v>2024</v>
      </c>
      <c r="H136" s="13">
        <v>1</v>
      </c>
      <c r="I136" s="15" t="s">
        <v>433</v>
      </c>
      <c r="J136" s="15" t="s">
        <v>434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s="14" customFormat="1" ht="12" customHeight="1" x14ac:dyDescent="0.25">
      <c r="A137" s="9">
        <v>135</v>
      </c>
      <c r="B137" s="14" t="s">
        <v>435</v>
      </c>
      <c r="C137" s="14" t="s">
        <v>436</v>
      </c>
      <c r="D137" s="13" t="s">
        <v>23</v>
      </c>
      <c r="E137" s="15" t="str">
        <f t="shared" ref="E137:E144" si="2">B137</f>
        <v>Axitinib</v>
      </c>
      <c r="F137" s="20">
        <f>DATE(2017,8,1)</f>
        <v>42948</v>
      </c>
      <c r="G137" s="13">
        <v>2012</v>
      </c>
      <c r="H137" s="13">
        <v>1</v>
      </c>
      <c r="I137" s="15" t="s">
        <v>24</v>
      </c>
      <c r="J137" s="15" t="s">
        <v>207</v>
      </c>
    </row>
    <row r="138" spans="1:35" s="14" customFormat="1" ht="12" customHeight="1" x14ac:dyDescent="0.25">
      <c r="A138" s="9">
        <v>136</v>
      </c>
      <c r="B138" s="14" t="s">
        <v>437</v>
      </c>
      <c r="C138" s="14" t="s">
        <v>438</v>
      </c>
      <c r="D138" s="13" t="s">
        <v>23</v>
      </c>
      <c r="E138" s="15" t="str">
        <f t="shared" si="2"/>
        <v>Azacitidine</v>
      </c>
      <c r="F138" s="12">
        <f>DATE(2023,7,27)</f>
        <v>45134</v>
      </c>
      <c r="G138" s="13">
        <v>2004</v>
      </c>
      <c r="H138" s="13">
        <v>1</v>
      </c>
      <c r="I138" s="15" t="s">
        <v>24</v>
      </c>
      <c r="J138" s="15" t="s">
        <v>439</v>
      </c>
    </row>
    <row r="139" spans="1:35" s="14" customFormat="1" ht="12" customHeight="1" x14ac:dyDescent="0.25">
      <c r="A139" s="9">
        <v>137</v>
      </c>
      <c r="B139" s="14" t="s">
        <v>440</v>
      </c>
      <c r="C139" s="14" t="s">
        <v>441</v>
      </c>
      <c r="D139" s="13" t="s">
        <v>166</v>
      </c>
      <c r="E139" s="15" t="str">
        <f t="shared" si="2"/>
        <v>Azathioprine</v>
      </c>
      <c r="F139" s="12">
        <f>DATE(2017,8,22)</f>
        <v>42969</v>
      </c>
      <c r="G139" s="13">
        <v>1968</v>
      </c>
      <c r="H139" s="13">
        <v>1</v>
      </c>
      <c r="I139" s="15" t="s">
        <v>19</v>
      </c>
      <c r="J139" s="15" t="s">
        <v>20</v>
      </c>
    </row>
    <row r="140" spans="1:35" s="14" customFormat="1" ht="12" customHeight="1" x14ac:dyDescent="0.25">
      <c r="A140" s="9">
        <v>138</v>
      </c>
      <c r="B140" s="14" t="s">
        <v>442</v>
      </c>
      <c r="C140" s="14" t="s">
        <v>443</v>
      </c>
      <c r="D140" s="13" t="s">
        <v>23</v>
      </c>
      <c r="E140" s="15" t="str">
        <f t="shared" si="2"/>
        <v>Azilsartan</v>
      </c>
      <c r="F140" s="12">
        <f>DATE(2017,1,13)</f>
        <v>42748</v>
      </c>
      <c r="G140" s="13">
        <v>2011</v>
      </c>
      <c r="H140" s="13">
        <v>1</v>
      </c>
      <c r="I140" s="15" t="s">
        <v>49</v>
      </c>
      <c r="J140" s="15" t="s">
        <v>50</v>
      </c>
    </row>
    <row r="141" spans="1:35" s="14" customFormat="1" ht="12" customHeight="1" x14ac:dyDescent="0.25">
      <c r="A141" s="9">
        <v>139</v>
      </c>
      <c r="B141" s="14" t="s">
        <v>444</v>
      </c>
      <c r="C141" s="14" t="s">
        <v>445</v>
      </c>
      <c r="D141" s="13" t="s">
        <v>166</v>
      </c>
      <c r="E141" s="15" t="str">
        <f t="shared" si="2"/>
        <v>Azithromycin</v>
      </c>
      <c r="F141" s="12">
        <f>DATE(2025,7,1)</f>
        <v>45839</v>
      </c>
      <c r="G141" s="13">
        <v>1991</v>
      </c>
      <c r="H141" s="13">
        <v>1</v>
      </c>
      <c r="I141" s="15" t="s">
        <v>15</v>
      </c>
      <c r="J141" s="15" t="s">
        <v>225</v>
      </c>
    </row>
    <row r="142" spans="1:35" s="14" customFormat="1" ht="12" customHeight="1" x14ac:dyDescent="0.25">
      <c r="A142" s="9">
        <v>140</v>
      </c>
      <c r="B142" s="14" t="s">
        <v>446</v>
      </c>
      <c r="C142" s="14" t="s">
        <v>447</v>
      </c>
      <c r="D142" s="13" t="s">
        <v>23</v>
      </c>
      <c r="E142" s="15" t="str">
        <f t="shared" si="2"/>
        <v>Aztreonam</v>
      </c>
      <c r="F142" s="12">
        <f>DATE(2017,8,2)</f>
        <v>42949</v>
      </c>
      <c r="G142" s="13">
        <v>1986</v>
      </c>
      <c r="H142" s="13">
        <v>1</v>
      </c>
      <c r="I142" s="15" t="s">
        <v>15</v>
      </c>
      <c r="J142" s="15" t="s">
        <v>225</v>
      </c>
    </row>
    <row r="143" spans="1:35" s="14" customFormat="1" ht="12" customHeight="1" x14ac:dyDescent="0.25">
      <c r="A143" s="9">
        <v>141</v>
      </c>
      <c r="B143" s="14" t="s">
        <v>448</v>
      </c>
      <c r="C143" s="14" t="s">
        <v>188</v>
      </c>
      <c r="D143" s="13" t="s">
        <v>44</v>
      </c>
      <c r="E143" s="15" t="str">
        <f t="shared" si="2"/>
        <v>Ba Jiao Lian</v>
      </c>
      <c r="F143" s="12">
        <f>DATE(2022,5,24)</f>
        <v>44705</v>
      </c>
      <c r="G143" s="13" t="s">
        <v>174</v>
      </c>
      <c r="H143" s="13">
        <v>1</v>
      </c>
      <c r="I143" s="15" t="s">
        <v>175</v>
      </c>
      <c r="J143" s="15" t="s">
        <v>176</v>
      </c>
    </row>
    <row r="144" spans="1:35" s="14" customFormat="1" ht="12" customHeight="1" x14ac:dyDescent="0.25">
      <c r="A144" s="9">
        <v>142</v>
      </c>
      <c r="B144" s="14" t="s">
        <v>449</v>
      </c>
      <c r="C144" s="14" t="s">
        <v>450</v>
      </c>
      <c r="D144" s="13" t="s">
        <v>36</v>
      </c>
      <c r="E144" s="15" t="str">
        <f t="shared" si="2"/>
        <v>Baclofen</v>
      </c>
      <c r="F144" s="12">
        <f>DATE(2017,1,30)</f>
        <v>42765</v>
      </c>
      <c r="G144" s="13">
        <v>1977</v>
      </c>
      <c r="H144" s="13">
        <v>1</v>
      </c>
      <c r="I144" s="15" t="s">
        <v>100</v>
      </c>
      <c r="J144" s="15" t="s">
        <v>451</v>
      </c>
    </row>
    <row r="145" spans="1:11" s="14" customFormat="1" ht="12" customHeight="1" x14ac:dyDescent="0.3">
      <c r="A145" s="9">
        <v>143</v>
      </c>
      <c r="B145" s="15" t="s">
        <v>452</v>
      </c>
      <c r="C145" s="19" t="s">
        <v>453</v>
      </c>
      <c r="D145" s="13" t="s">
        <v>31</v>
      </c>
      <c r="E145" s="15" t="s">
        <v>452</v>
      </c>
      <c r="F145" s="12">
        <f>DATE(2024,4,22)</f>
        <v>45404</v>
      </c>
      <c r="G145" s="13" t="s">
        <v>174</v>
      </c>
      <c r="H145" s="13">
        <v>1</v>
      </c>
      <c r="I145" s="15" t="s">
        <v>175</v>
      </c>
      <c r="J145" s="15" t="s">
        <v>454</v>
      </c>
      <c r="K145" s="13"/>
    </row>
    <row r="146" spans="1:11" s="14" customFormat="1" ht="12" customHeight="1" x14ac:dyDescent="0.3">
      <c r="A146" s="9">
        <v>144</v>
      </c>
      <c r="B146" s="14" t="s">
        <v>455</v>
      </c>
      <c r="C146" s="23" t="s">
        <v>456</v>
      </c>
      <c r="D146" s="13" t="s">
        <v>31</v>
      </c>
      <c r="E146" s="15" t="str">
        <f>B146</f>
        <v>Baloxavir</v>
      </c>
      <c r="F146" s="12">
        <f>DATE(2020,6,22)</f>
        <v>44004</v>
      </c>
      <c r="G146" s="13">
        <v>2018</v>
      </c>
      <c r="H146" s="13">
        <v>1</v>
      </c>
      <c r="I146" s="15" t="s">
        <v>15</v>
      </c>
      <c r="J146" s="15" t="s">
        <v>457</v>
      </c>
    </row>
    <row r="147" spans="1:11" s="14" customFormat="1" ht="12" customHeight="1" x14ac:dyDescent="0.25">
      <c r="A147" s="9">
        <v>145</v>
      </c>
      <c r="B147" s="14" t="s">
        <v>458</v>
      </c>
      <c r="C147" s="14" t="s">
        <v>459</v>
      </c>
      <c r="D147" s="13" t="s">
        <v>14</v>
      </c>
      <c r="E147" s="15" t="s">
        <v>460</v>
      </c>
      <c r="F147" s="12">
        <f>DATE(2017,9,26)</f>
        <v>43004</v>
      </c>
      <c r="G147" s="13">
        <v>2000</v>
      </c>
      <c r="H147" s="13">
        <v>1</v>
      </c>
      <c r="I147" s="15" t="s">
        <v>182</v>
      </c>
      <c r="J147" s="15" t="s">
        <v>461</v>
      </c>
    </row>
    <row r="148" spans="1:11" s="14" customFormat="1" ht="12" customHeight="1" x14ac:dyDescent="0.25">
      <c r="A148" s="9">
        <v>146</v>
      </c>
      <c r="B148" s="24" t="s">
        <v>462</v>
      </c>
      <c r="C148" s="24" t="s">
        <v>463</v>
      </c>
      <c r="D148" s="25" t="s">
        <v>31</v>
      </c>
      <c r="E148" s="15" t="s">
        <v>464</v>
      </c>
      <c r="F148" s="20">
        <v>44592</v>
      </c>
      <c r="G148" s="25">
        <v>2021</v>
      </c>
      <c r="H148" s="13">
        <v>1</v>
      </c>
      <c r="I148" s="26" t="s">
        <v>15</v>
      </c>
      <c r="J148" s="26" t="s">
        <v>465</v>
      </c>
    </row>
    <row r="149" spans="1:11" s="14" customFormat="1" ht="12" customHeight="1" x14ac:dyDescent="0.25">
      <c r="A149" s="9">
        <v>147</v>
      </c>
      <c r="B149" s="14" t="s">
        <v>466</v>
      </c>
      <c r="C149" s="14" t="s">
        <v>467</v>
      </c>
      <c r="D149" s="13" t="s">
        <v>23</v>
      </c>
      <c r="E149" s="15" t="str">
        <f>B149</f>
        <v>Baricitinib</v>
      </c>
      <c r="F149" s="12">
        <f>DATE(2022,8,30)</f>
        <v>44803</v>
      </c>
      <c r="G149" s="13">
        <v>2018</v>
      </c>
      <c r="H149" s="13">
        <v>1</v>
      </c>
      <c r="I149" s="15" t="s">
        <v>19</v>
      </c>
      <c r="J149" s="15" t="s">
        <v>400</v>
      </c>
    </row>
    <row r="150" spans="1:11" s="14" customFormat="1" ht="12" customHeight="1" x14ac:dyDescent="0.25">
      <c r="A150" s="9">
        <v>148</v>
      </c>
      <c r="B150" s="14" t="s">
        <v>468</v>
      </c>
      <c r="C150" s="14" t="s">
        <v>469</v>
      </c>
      <c r="D150" s="13" t="s">
        <v>31</v>
      </c>
      <c r="E150" s="15" t="str">
        <f>B150</f>
        <v>Basiliximab</v>
      </c>
      <c r="F150" s="12">
        <f>DATE(2017,9,21)</f>
        <v>42999</v>
      </c>
      <c r="G150" s="13">
        <v>1998</v>
      </c>
      <c r="H150" s="13">
        <v>1</v>
      </c>
      <c r="I150" s="15" t="s">
        <v>139</v>
      </c>
      <c r="J150" s="15" t="s">
        <v>140</v>
      </c>
    </row>
    <row r="151" spans="1:11" s="14" customFormat="1" ht="12" customHeight="1" x14ac:dyDescent="0.25">
      <c r="A151" s="9">
        <v>149</v>
      </c>
      <c r="B151" s="14" t="s">
        <v>470</v>
      </c>
      <c r="C151" s="14" t="s">
        <v>471</v>
      </c>
      <c r="D151" s="13" t="s">
        <v>23</v>
      </c>
      <c r="E151" s="15" t="s">
        <v>472</v>
      </c>
      <c r="F151" s="12">
        <f>DATE(2017,9,32)</f>
        <v>43010</v>
      </c>
      <c r="G151" s="13">
        <v>2013</v>
      </c>
      <c r="H151" s="13">
        <v>1</v>
      </c>
      <c r="I151" s="15" t="s">
        <v>473</v>
      </c>
      <c r="J151" s="15" t="s">
        <v>474</v>
      </c>
    </row>
    <row r="152" spans="1:11" s="14" customFormat="1" ht="12" customHeight="1" x14ac:dyDescent="0.25">
      <c r="A152" s="9">
        <v>150</v>
      </c>
      <c r="B152" s="14" t="s">
        <v>475</v>
      </c>
      <c r="C152" s="14" t="s">
        <v>476</v>
      </c>
      <c r="D152" s="13" t="s">
        <v>23</v>
      </c>
      <c r="E152" s="15" t="str">
        <f>B152</f>
        <v>Bedaquiline</v>
      </c>
      <c r="F152" s="12">
        <f>DATE(2017,9,22)</f>
        <v>43000</v>
      </c>
      <c r="G152" s="13">
        <v>2012</v>
      </c>
      <c r="H152" s="13">
        <v>1</v>
      </c>
      <c r="I152" s="15" t="s">
        <v>15</v>
      </c>
      <c r="J152" s="15" t="s">
        <v>241</v>
      </c>
    </row>
    <row r="153" spans="1:11" s="14" customFormat="1" ht="12" customHeight="1" x14ac:dyDescent="0.25">
      <c r="A153" s="9">
        <v>151</v>
      </c>
      <c r="B153" s="14" t="s">
        <v>477</v>
      </c>
      <c r="C153" s="14" t="s">
        <v>188</v>
      </c>
      <c r="D153" s="13" t="s">
        <v>31</v>
      </c>
      <c r="E153" s="15" t="s">
        <v>478</v>
      </c>
      <c r="F153" s="12">
        <f>DATE(2022,5,1)</f>
        <v>44682</v>
      </c>
      <c r="G153" s="13" t="s">
        <v>174</v>
      </c>
      <c r="H153" s="13">
        <v>1</v>
      </c>
      <c r="I153" s="15" t="s">
        <v>190</v>
      </c>
      <c r="J153" s="15" t="s">
        <v>363</v>
      </c>
    </row>
    <row r="154" spans="1:11" s="14" customFormat="1" ht="12" customHeight="1" x14ac:dyDescent="0.25">
      <c r="A154" s="9">
        <v>152</v>
      </c>
      <c r="B154" s="14" t="s">
        <v>479</v>
      </c>
      <c r="C154" s="14" t="s">
        <v>188</v>
      </c>
      <c r="D154" s="13" t="s">
        <v>31</v>
      </c>
      <c r="E154" s="15" t="s">
        <v>478</v>
      </c>
      <c r="F154" s="12">
        <f>DATE(2022,5,1)</f>
        <v>44682</v>
      </c>
      <c r="G154" s="13" t="s">
        <v>174</v>
      </c>
      <c r="H154" s="13">
        <v>1</v>
      </c>
      <c r="I154" s="15" t="s">
        <v>190</v>
      </c>
      <c r="J154" s="15" t="s">
        <v>363</v>
      </c>
    </row>
    <row r="155" spans="1:11" s="14" customFormat="1" ht="12" customHeight="1" x14ac:dyDescent="0.25">
      <c r="A155" s="9">
        <v>153</v>
      </c>
      <c r="B155" s="14" t="s">
        <v>480</v>
      </c>
      <c r="C155" s="14" t="s">
        <v>481</v>
      </c>
      <c r="D155" s="13" t="s">
        <v>36</v>
      </c>
      <c r="E155" s="15" t="s">
        <v>480</v>
      </c>
      <c r="F155" s="12">
        <f>DATE(2023,11,28)</f>
        <v>45258</v>
      </c>
      <c r="G155" s="16">
        <v>2020</v>
      </c>
      <c r="H155" s="13">
        <v>1</v>
      </c>
      <c r="I155" s="15" t="s">
        <v>24</v>
      </c>
      <c r="J155" s="15" t="s">
        <v>482</v>
      </c>
    </row>
    <row r="156" spans="1:11" s="14" customFormat="1" ht="12" customHeight="1" x14ac:dyDescent="0.25">
      <c r="A156" s="9">
        <v>154</v>
      </c>
      <c r="B156" s="14" t="s">
        <v>483</v>
      </c>
      <c r="C156" s="14" t="s">
        <v>484</v>
      </c>
      <c r="D156" s="13" t="s">
        <v>31</v>
      </c>
      <c r="E156" s="15" t="str">
        <f>B156</f>
        <v>Belimumab</v>
      </c>
      <c r="F156" s="12">
        <f>DATE(2020,12,28)</f>
        <v>44193</v>
      </c>
      <c r="G156" s="13">
        <v>2011</v>
      </c>
      <c r="H156" s="13">
        <v>1</v>
      </c>
      <c r="I156" s="15" t="s">
        <v>19</v>
      </c>
      <c r="J156" s="15" t="s">
        <v>300</v>
      </c>
    </row>
    <row r="157" spans="1:11" s="14" customFormat="1" ht="12" customHeight="1" x14ac:dyDescent="0.25">
      <c r="A157" s="9">
        <v>155</v>
      </c>
      <c r="B157" s="14" t="s">
        <v>485</v>
      </c>
      <c r="C157" s="14" t="s">
        <v>486</v>
      </c>
      <c r="D157" s="13" t="s">
        <v>36</v>
      </c>
      <c r="E157" s="15" t="str">
        <f>B157</f>
        <v>Belinostat</v>
      </c>
      <c r="F157" s="12">
        <f>DATE(2020,9,25)</f>
        <v>44099</v>
      </c>
      <c r="G157" s="13">
        <v>2014</v>
      </c>
      <c r="H157" s="13">
        <v>1</v>
      </c>
      <c r="I157" s="15" t="s">
        <v>24</v>
      </c>
      <c r="J157" s="15" t="s">
        <v>487</v>
      </c>
    </row>
    <row r="158" spans="1:11" s="14" customFormat="1" ht="12" customHeight="1" x14ac:dyDescent="0.25">
      <c r="A158" s="9">
        <v>156</v>
      </c>
      <c r="B158" s="14" t="s">
        <v>488</v>
      </c>
      <c r="C158" s="14" t="s">
        <v>489</v>
      </c>
      <c r="D158" s="13" t="s">
        <v>31</v>
      </c>
      <c r="E158" s="15" t="s">
        <v>490</v>
      </c>
      <c r="F158" s="12">
        <f>DATE(2017,7,5)</f>
        <v>42921</v>
      </c>
      <c r="G158" s="13" t="s">
        <v>174</v>
      </c>
      <c r="H158" s="13">
        <v>1</v>
      </c>
      <c r="I158" s="15" t="s">
        <v>175</v>
      </c>
      <c r="J158" s="15" t="s">
        <v>354</v>
      </c>
    </row>
    <row r="159" spans="1:11" s="14" customFormat="1" ht="12" customHeight="1" x14ac:dyDescent="0.25">
      <c r="A159" s="9">
        <v>157</v>
      </c>
      <c r="B159" s="14" t="s">
        <v>491</v>
      </c>
      <c r="C159" s="14" t="s">
        <v>492</v>
      </c>
      <c r="D159" s="13" t="s">
        <v>31</v>
      </c>
      <c r="E159" s="15" t="s">
        <v>491</v>
      </c>
      <c r="F159" s="12">
        <f>DATE(2024,7,15)</f>
        <v>45488</v>
      </c>
      <c r="G159" s="16">
        <v>2021</v>
      </c>
      <c r="H159" s="13">
        <v>1</v>
      </c>
      <c r="I159" s="15" t="s">
        <v>230</v>
      </c>
      <c r="J159" s="15" t="s">
        <v>493</v>
      </c>
    </row>
    <row r="160" spans="1:11" s="14" customFormat="1" ht="12" customHeight="1" x14ac:dyDescent="0.25">
      <c r="A160" s="9">
        <v>158</v>
      </c>
      <c r="B160" s="14" t="s">
        <v>494</v>
      </c>
      <c r="C160" s="14" t="s">
        <v>495</v>
      </c>
      <c r="D160" s="13" t="s">
        <v>31</v>
      </c>
      <c r="E160" s="15" t="s">
        <v>494</v>
      </c>
      <c r="F160" s="12">
        <f>DATE(2023,8,27)</f>
        <v>45165</v>
      </c>
      <c r="G160" s="16">
        <v>2021</v>
      </c>
      <c r="H160" s="13">
        <v>1</v>
      </c>
      <c r="I160" s="15" t="s">
        <v>24</v>
      </c>
      <c r="J160" s="15" t="s">
        <v>496</v>
      </c>
    </row>
    <row r="161" spans="1:10" s="14" customFormat="1" ht="12" customHeight="1" x14ac:dyDescent="0.25">
      <c r="A161" s="9">
        <v>159</v>
      </c>
      <c r="B161" s="14" t="s">
        <v>497</v>
      </c>
      <c r="C161" s="14" t="s">
        <v>498</v>
      </c>
      <c r="D161" s="13" t="s">
        <v>31</v>
      </c>
      <c r="E161" s="15" t="s">
        <v>497</v>
      </c>
      <c r="F161" s="12">
        <f>DATE(2023,7,15)</f>
        <v>45122</v>
      </c>
      <c r="G161" s="16">
        <v>2020</v>
      </c>
      <c r="H161" s="13">
        <v>1</v>
      </c>
      <c r="I161" s="15" t="s">
        <v>49</v>
      </c>
      <c r="J161" s="15" t="s">
        <v>499</v>
      </c>
    </row>
    <row r="162" spans="1:10" s="14" customFormat="1" ht="12" customHeight="1" x14ac:dyDescent="0.25">
      <c r="A162" s="9">
        <v>160</v>
      </c>
      <c r="B162" s="14" t="s">
        <v>500</v>
      </c>
      <c r="C162" s="14" t="s">
        <v>501</v>
      </c>
      <c r="D162" s="13" t="s">
        <v>36</v>
      </c>
      <c r="E162" s="15" t="str">
        <f>B162</f>
        <v>Benazepril</v>
      </c>
      <c r="F162" s="12">
        <f>DATE(2017,1,15)</f>
        <v>42750</v>
      </c>
      <c r="G162" s="13">
        <v>1991</v>
      </c>
      <c r="H162" s="13">
        <v>1</v>
      </c>
      <c r="I162" s="15" t="s">
        <v>49</v>
      </c>
      <c r="J162" s="15" t="s">
        <v>50</v>
      </c>
    </row>
    <row r="163" spans="1:10" s="14" customFormat="1" ht="12" customHeight="1" x14ac:dyDescent="0.25">
      <c r="A163" s="9">
        <v>161</v>
      </c>
      <c r="B163" s="14" t="s">
        <v>502</v>
      </c>
      <c r="C163" s="14" t="s">
        <v>503</v>
      </c>
      <c r="D163" s="13" t="s">
        <v>14</v>
      </c>
      <c r="E163" s="15" t="str">
        <f>B163</f>
        <v>Bendamustine</v>
      </c>
      <c r="F163" s="12">
        <f>DATE(2017,9,22)</f>
        <v>43000</v>
      </c>
      <c r="G163" s="13">
        <v>2008</v>
      </c>
      <c r="H163" s="13">
        <v>1</v>
      </c>
      <c r="I163" s="15" t="s">
        <v>24</v>
      </c>
      <c r="J163" s="15" t="s">
        <v>504</v>
      </c>
    </row>
    <row r="164" spans="1:10" s="14" customFormat="1" ht="12" customHeight="1" x14ac:dyDescent="0.25">
      <c r="A164" s="9">
        <v>162</v>
      </c>
      <c r="B164" s="14" t="s">
        <v>505</v>
      </c>
      <c r="C164" s="14" t="s">
        <v>506</v>
      </c>
      <c r="D164" s="13" t="s">
        <v>23</v>
      </c>
      <c r="E164" s="15" t="s">
        <v>507</v>
      </c>
      <c r="F164" s="12">
        <f>DATE(2021,10,13)</f>
        <v>44482</v>
      </c>
      <c r="G164" s="13">
        <v>1959</v>
      </c>
      <c r="H164" s="13">
        <v>1</v>
      </c>
      <c r="I164" s="15" t="s">
        <v>49</v>
      </c>
      <c r="J164" s="15" t="s">
        <v>59</v>
      </c>
    </row>
    <row r="165" spans="1:10" s="14" customFormat="1" ht="12" customHeight="1" x14ac:dyDescent="0.25">
      <c r="A165" s="9">
        <v>163</v>
      </c>
      <c r="B165" s="14" t="s">
        <v>508</v>
      </c>
      <c r="C165" s="14" t="s">
        <v>509</v>
      </c>
      <c r="D165" s="13" t="s">
        <v>31</v>
      </c>
      <c r="E165" s="15" t="str">
        <f>B165</f>
        <v>Benralizumab</v>
      </c>
      <c r="F165" s="12">
        <f>DATE(2018,7,5)</f>
        <v>43286</v>
      </c>
      <c r="G165" s="13">
        <v>2017</v>
      </c>
      <c r="H165" s="13">
        <v>1</v>
      </c>
      <c r="I165" s="15" t="s">
        <v>73</v>
      </c>
      <c r="J165" s="15" t="s">
        <v>128</v>
      </c>
    </row>
    <row r="166" spans="1:10" s="14" customFormat="1" ht="12" customHeight="1" x14ac:dyDescent="0.25">
      <c r="A166" s="9">
        <v>164</v>
      </c>
      <c r="B166" s="14" t="s">
        <v>510</v>
      </c>
      <c r="C166" s="14" t="s">
        <v>335</v>
      </c>
      <c r="D166" s="13" t="s">
        <v>44</v>
      </c>
      <c r="E166" s="15" t="s">
        <v>511</v>
      </c>
      <c r="F166" s="12">
        <f>DATE(2017,9,3)</f>
        <v>42981</v>
      </c>
      <c r="G166" s="13" t="s">
        <v>512</v>
      </c>
      <c r="H166" s="13">
        <v>1</v>
      </c>
      <c r="I166" s="15" t="s">
        <v>49</v>
      </c>
      <c r="J166" s="15" t="s">
        <v>513</v>
      </c>
    </row>
    <row r="167" spans="1:10" s="14" customFormat="1" ht="12" customHeight="1" x14ac:dyDescent="0.25">
      <c r="A167" s="9">
        <v>165</v>
      </c>
      <c r="B167" s="14" t="s">
        <v>511</v>
      </c>
      <c r="C167" s="14" t="s">
        <v>514</v>
      </c>
      <c r="D167" s="13" t="s">
        <v>44</v>
      </c>
      <c r="E167" s="15" t="str">
        <f>B167</f>
        <v>Benzbromarone</v>
      </c>
      <c r="F167" s="12">
        <f>DATE(2017,9,3)</f>
        <v>42981</v>
      </c>
      <c r="G167" s="13" t="s">
        <v>512</v>
      </c>
      <c r="H167" s="13">
        <v>1</v>
      </c>
      <c r="I167" s="15" t="s">
        <v>19</v>
      </c>
      <c r="J167" s="15" t="s">
        <v>167</v>
      </c>
    </row>
    <row r="168" spans="1:10" s="14" customFormat="1" ht="12" customHeight="1" x14ac:dyDescent="0.25">
      <c r="A168" s="9">
        <v>166</v>
      </c>
      <c r="B168" s="14" t="s">
        <v>515</v>
      </c>
      <c r="C168" s="14" t="s">
        <v>516</v>
      </c>
      <c r="D168" s="13" t="s">
        <v>36</v>
      </c>
      <c r="E168" s="15" t="str">
        <f>B168</f>
        <v>Benznidazole</v>
      </c>
      <c r="F168" s="12">
        <f>DATE(2023,7,20)</f>
        <v>45127</v>
      </c>
      <c r="G168" s="13">
        <v>2017</v>
      </c>
      <c r="H168" s="13">
        <v>1</v>
      </c>
      <c r="I168" s="15" t="s">
        <v>15</v>
      </c>
      <c r="J168" s="15" t="s">
        <v>517</v>
      </c>
    </row>
    <row r="169" spans="1:10" s="14" customFormat="1" ht="12" customHeight="1" x14ac:dyDescent="0.25">
      <c r="A169" s="9">
        <v>167</v>
      </c>
      <c r="B169" s="14" t="s">
        <v>518</v>
      </c>
      <c r="C169" s="14" t="s">
        <v>519</v>
      </c>
      <c r="D169" s="13" t="s">
        <v>53</v>
      </c>
      <c r="E169" s="15" t="s">
        <v>266</v>
      </c>
      <c r="F169" s="18">
        <f>DATE(2021,8,25)</f>
        <v>44433</v>
      </c>
      <c r="G169" s="13">
        <v>1960</v>
      </c>
      <c r="H169" s="13">
        <v>1</v>
      </c>
      <c r="I169" s="15" t="s">
        <v>520</v>
      </c>
      <c r="J169" s="15" t="s">
        <v>521</v>
      </c>
    </row>
    <row r="170" spans="1:10" s="14" customFormat="1" ht="12" customHeight="1" x14ac:dyDescent="0.25">
      <c r="A170" s="9">
        <v>168</v>
      </c>
      <c r="B170" s="14" t="s">
        <v>522</v>
      </c>
      <c r="C170" s="14" t="s">
        <v>523</v>
      </c>
      <c r="D170" s="13" t="s">
        <v>31</v>
      </c>
      <c r="E170" s="15" t="str">
        <f>B170</f>
        <v>Benztropine</v>
      </c>
      <c r="F170" s="12">
        <f>DATE(2017,9,11)</f>
        <v>42989</v>
      </c>
      <c r="G170" s="13">
        <v>1954</v>
      </c>
      <c r="H170" s="13">
        <v>1</v>
      </c>
      <c r="I170" s="15" t="s">
        <v>100</v>
      </c>
      <c r="J170" s="15" t="s">
        <v>210</v>
      </c>
    </row>
    <row r="171" spans="1:10" s="14" customFormat="1" ht="12" customHeight="1" x14ac:dyDescent="0.25">
      <c r="A171" s="9">
        <v>169</v>
      </c>
      <c r="B171" s="14" t="s">
        <v>524</v>
      </c>
      <c r="C171" s="14" t="s">
        <v>188</v>
      </c>
      <c r="D171" s="13" t="s">
        <v>31</v>
      </c>
      <c r="E171" s="15" t="str">
        <f>B171</f>
        <v>Berberine</v>
      </c>
      <c r="F171" s="18">
        <f>DATE(2020,10,20)</f>
        <v>44124</v>
      </c>
      <c r="G171" s="13" t="s">
        <v>174</v>
      </c>
      <c r="H171" s="13">
        <v>1</v>
      </c>
      <c r="I171" s="15" t="s">
        <v>175</v>
      </c>
      <c r="J171" s="15" t="s">
        <v>46</v>
      </c>
    </row>
    <row r="172" spans="1:10" s="14" customFormat="1" ht="12" customHeight="1" x14ac:dyDescent="0.25">
      <c r="A172" s="9">
        <v>170</v>
      </c>
      <c r="B172" s="14" t="s">
        <v>525</v>
      </c>
      <c r="C172" s="14" t="s">
        <v>526</v>
      </c>
      <c r="D172" s="13" t="s">
        <v>23</v>
      </c>
      <c r="E172" s="15" t="s">
        <v>525</v>
      </c>
      <c r="F172" s="12">
        <f>DATE(2024,6,15)</f>
        <v>45458</v>
      </c>
      <c r="G172" s="16">
        <v>2020</v>
      </c>
      <c r="H172" s="13">
        <v>1</v>
      </c>
      <c r="I172" s="15" t="s">
        <v>230</v>
      </c>
      <c r="J172" s="15" t="s">
        <v>527</v>
      </c>
    </row>
    <row r="173" spans="1:10" s="14" customFormat="1" ht="12" customHeight="1" x14ac:dyDescent="0.25">
      <c r="A173" s="9">
        <v>171</v>
      </c>
      <c r="B173" s="14" t="s">
        <v>528</v>
      </c>
      <c r="C173" s="14" t="s">
        <v>529</v>
      </c>
      <c r="D173" s="13" t="s">
        <v>31</v>
      </c>
      <c r="E173" s="15" t="s">
        <v>530</v>
      </c>
      <c r="F173" s="12"/>
      <c r="G173" s="13" t="s">
        <v>174</v>
      </c>
      <c r="H173" s="13">
        <v>0</v>
      </c>
      <c r="I173" s="15" t="s">
        <v>190</v>
      </c>
      <c r="J173" s="15" t="s">
        <v>198</v>
      </c>
    </row>
    <row r="174" spans="1:10" s="14" customFormat="1" ht="12" customHeight="1" x14ac:dyDescent="0.25">
      <c r="A174" s="9">
        <v>172</v>
      </c>
      <c r="B174" s="14" t="s">
        <v>531</v>
      </c>
      <c r="C174" s="14" t="s">
        <v>532</v>
      </c>
      <c r="D174" s="13" t="s">
        <v>31</v>
      </c>
      <c r="E174" s="15" t="str">
        <f>B174</f>
        <v>Betaine</v>
      </c>
      <c r="F174" s="12">
        <f>DATE(2017,9,26)</f>
        <v>43004</v>
      </c>
      <c r="G174" s="13">
        <v>1996</v>
      </c>
      <c r="H174" s="13">
        <v>1</v>
      </c>
      <c r="I174" s="15" t="s">
        <v>104</v>
      </c>
      <c r="J174" s="15" t="s">
        <v>533</v>
      </c>
    </row>
    <row r="175" spans="1:10" s="14" customFormat="1" ht="12" customHeight="1" x14ac:dyDescent="0.25">
      <c r="A175" s="9">
        <v>173</v>
      </c>
      <c r="B175" s="14" t="s">
        <v>534</v>
      </c>
      <c r="C175" s="14" t="s">
        <v>535</v>
      </c>
      <c r="D175" s="13" t="s">
        <v>53</v>
      </c>
      <c r="E175" s="15" t="s">
        <v>536</v>
      </c>
      <c r="F175" s="12">
        <f>DATE(2021,5,5)</f>
        <v>44321</v>
      </c>
      <c r="G175" s="13">
        <v>1961</v>
      </c>
      <c r="H175" s="13">
        <v>1</v>
      </c>
      <c r="I175" s="15" t="s">
        <v>45</v>
      </c>
      <c r="J175" s="15" t="s">
        <v>537</v>
      </c>
    </row>
    <row r="176" spans="1:10" s="14" customFormat="1" ht="12" customHeight="1" x14ac:dyDescent="0.25">
      <c r="A176" s="9">
        <v>174</v>
      </c>
      <c r="B176" s="14" t="s">
        <v>538</v>
      </c>
      <c r="C176" s="14" t="s">
        <v>539</v>
      </c>
      <c r="D176" s="13" t="s">
        <v>31</v>
      </c>
      <c r="E176" s="15" t="str">
        <f>B176</f>
        <v>Betaxolol</v>
      </c>
      <c r="F176" s="12">
        <f>DATE(2019,6,3)</f>
        <v>43619</v>
      </c>
      <c r="G176" s="13">
        <v>1985</v>
      </c>
      <c r="H176" s="13">
        <v>1</v>
      </c>
      <c r="I176" s="15" t="s">
        <v>49</v>
      </c>
      <c r="J176" s="15" t="s">
        <v>50</v>
      </c>
    </row>
    <row r="177" spans="1:35" s="14" customFormat="1" ht="12" customHeight="1" x14ac:dyDescent="0.25">
      <c r="A177" s="9">
        <v>175</v>
      </c>
      <c r="B177" s="14" t="s">
        <v>540</v>
      </c>
      <c r="C177" s="14" t="s">
        <v>541</v>
      </c>
      <c r="D177" s="13" t="s">
        <v>31</v>
      </c>
      <c r="E177" s="15"/>
      <c r="F177" s="12"/>
      <c r="G177" s="13">
        <v>1948</v>
      </c>
      <c r="H177" s="13">
        <v>0</v>
      </c>
      <c r="I177" s="15" t="s">
        <v>151</v>
      </c>
      <c r="J177" s="15" t="s">
        <v>542</v>
      </c>
    </row>
    <row r="178" spans="1:35" s="14" customFormat="1" ht="12" customHeight="1" x14ac:dyDescent="0.25">
      <c r="A178" s="9">
        <v>176</v>
      </c>
      <c r="B178" s="14" t="s">
        <v>543</v>
      </c>
      <c r="C178" s="14" t="s">
        <v>544</v>
      </c>
      <c r="D178" s="13" t="s">
        <v>23</v>
      </c>
      <c r="E178" s="15" t="str">
        <f>B178</f>
        <v>Betrixaban</v>
      </c>
      <c r="F178" s="12">
        <f>DATE(2019,2,5)</f>
        <v>43501</v>
      </c>
      <c r="G178" s="13">
        <v>2017</v>
      </c>
      <c r="H178" s="13">
        <v>1</v>
      </c>
      <c r="I178" s="15" t="s">
        <v>230</v>
      </c>
      <c r="J178" s="15" t="s">
        <v>308</v>
      </c>
    </row>
    <row r="179" spans="1:35" s="14" customFormat="1" ht="12" customHeight="1" x14ac:dyDescent="0.25">
      <c r="A179" s="9">
        <v>177</v>
      </c>
      <c r="B179" s="14" t="s">
        <v>543</v>
      </c>
      <c r="C179" s="14" t="s">
        <v>544</v>
      </c>
      <c r="D179" s="13" t="s">
        <v>23</v>
      </c>
      <c r="E179" s="15" t="str">
        <f>B179</f>
        <v>Betrixaban</v>
      </c>
      <c r="F179" s="12">
        <f>DATE(2023,2,16)</f>
        <v>44973</v>
      </c>
      <c r="G179" s="13">
        <v>2019</v>
      </c>
      <c r="H179" s="13">
        <v>1</v>
      </c>
      <c r="I179" s="15" t="s">
        <v>230</v>
      </c>
      <c r="J179" s="15" t="s">
        <v>545</v>
      </c>
    </row>
    <row r="180" spans="1:35" s="14" customFormat="1" ht="12" customHeight="1" x14ac:dyDescent="0.25">
      <c r="A180" s="9">
        <v>178</v>
      </c>
      <c r="B180" s="14" t="s">
        <v>546</v>
      </c>
      <c r="C180" s="14" t="s">
        <v>547</v>
      </c>
      <c r="D180" s="13" t="s">
        <v>31</v>
      </c>
      <c r="E180" s="15" t="str">
        <f>B180</f>
        <v>Bevacizumab</v>
      </c>
      <c r="F180" s="12">
        <f>DATE(2017,9,26)</f>
        <v>43004</v>
      </c>
      <c r="G180" s="13">
        <v>2004</v>
      </c>
      <c r="H180" s="13">
        <v>1</v>
      </c>
      <c r="I180" s="15" t="s">
        <v>24</v>
      </c>
      <c r="J180" s="15" t="s">
        <v>207</v>
      </c>
    </row>
    <row r="181" spans="1:35" s="14" customFormat="1" ht="12" customHeight="1" x14ac:dyDescent="0.25">
      <c r="A181" s="9">
        <v>179</v>
      </c>
      <c r="B181" s="15" t="s">
        <v>548</v>
      </c>
      <c r="C181" s="15" t="s">
        <v>549</v>
      </c>
      <c r="D181" s="13" t="s">
        <v>31</v>
      </c>
      <c r="E181" s="15" t="s">
        <v>550</v>
      </c>
      <c r="F181" s="12">
        <f>DATE(2023,2,16)</f>
        <v>44973</v>
      </c>
      <c r="G181" s="13">
        <v>2023</v>
      </c>
      <c r="H181" s="13">
        <v>1</v>
      </c>
      <c r="I181" s="15" t="s">
        <v>45</v>
      </c>
      <c r="J181" s="15" t="s">
        <v>551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s="14" customFormat="1" ht="12" customHeight="1" x14ac:dyDescent="0.25">
      <c r="A182" s="9">
        <v>180</v>
      </c>
      <c r="B182" s="14" t="s">
        <v>552</v>
      </c>
      <c r="C182" s="14" t="s">
        <v>553</v>
      </c>
      <c r="D182" s="13" t="s">
        <v>36</v>
      </c>
      <c r="E182" s="15" t="str">
        <f>B182</f>
        <v>Bexarotene</v>
      </c>
      <c r="F182" s="12">
        <f>DATE(2017,9,26)</f>
        <v>43004</v>
      </c>
      <c r="G182" s="13">
        <v>1999</v>
      </c>
      <c r="H182" s="13">
        <v>1</v>
      </c>
      <c r="I182" s="15" t="s">
        <v>24</v>
      </c>
      <c r="J182" s="15" t="s">
        <v>487</v>
      </c>
    </row>
    <row r="183" spans="1:35" s="14" customFormat="1" ht="12" customHeight="1" x14ac:dyDescent="0.25">
      <c r="A183" s="9">
        <v>181</v>
      </c>
      <c r="B183" s="14" t="s">
        <v>554</v>
      </c>
      <c r="C183" s="14" t="s">
        <v>555</v>
      </c>
      <c r="D183" s="16" t="s">
        <v>31</v>
      </c>
      <c r="E183" s="15" t="str">
        <f>B183</f>
        <v>Bezlotoxumab</v>
      </c>
      <c r="F183" s="12">
        <f>DATE(2017,9,29)</f>
        <v>43007</v>
      </c>
      <c r="G183" s="13">
        <v>2016</v>
      </c>
      <c r="H183" s="13">
        <v>1</v>
      </c>
      <c r="I183" s="15" t="s">
        <v>15</v>
      </c>
      <c r="J183" s="15" t="s">
        <v>556</v>
      </c>
    </row>
    <row r="184" spans="1:35" s="14" customFormat="1" ht="12" customHeight="1" x14ac:dyDescent="0.25">
      <c r="A184" s="9">
        <v>182</v>
      </c>
      <c r="B184" s="14" t="s">
        <v>557</v>
      </c>
      <c r="C184" s="14" t="s">
        <v>558</v>
      </c>
      <c r="D184" s="13" t="s">
        <v>44</v>
      </c>
      <c r="E184" s="15" t="str">
        <f>B184</f>
        <v>Bicalutamide</v>
      </c>
      <c r="F184" s="12">
        <f>DATE(2023,3,15)</f>
        <v>45000</v>
      </c>
      <c r="G184" s="13">
        <v>1995</v>
      </c>
      <c r="H184" s="13">
        <v>1</v>
      </c>
      <c r="I184" s="15" t="s">
        <v>24</v>
      </c>
      <c r="J184" s="15" t="s">
        <v>28</v>
      </c>
    </row>
    <row r="185" spans="1:35" s="14" customFormat="1" ht="12" customHeight="1" x14ac:dyDescent="0.25">
      <c r="A185" s="9">
        <v>183</v>
      </c>
      <c r="B185" s="14" t="s">
        <v>559</v>
      </c>
      <c r="C185" s="14" t="s">
        <v>560</v>
      </c>
      <c r="D185" s="13" t="s">
        <v>23</v>
      </c>
      <c r="E185" s="15" t="str">
        <f>B185</f>
        <v>Bictegravir</v>
      </c>
      <c r="F185" s="12">
        <f>DATE(2019,2,5)</f>
        <v>43501</v>
      </c>
      <c r="G185" s="13">
        <v>2018</v>
      </c>
      <c r="H185" s="13">
        <v>1</v>
      </c>
      <c r="I185" s="15" t="s">
        <v>15</v>
      </c>
      <c r="J185" s="15" t="s">
        <v>561</v>
      </c>
    </row>
    <row r="186" spans="1:35" s="14" customFormat="1" ht="12" customHeight="1" x14ac:dyDescent="0.25">
      <c r="A186" s="9">
        <v>184</v>
      </c>
      <c r="B186" s="14" t="s">
        <v>562</v>
      </c>
      <c r="C186" s="14" t="s">
        <v>563</v>
      </c>
      <c r="D186" s="13" t="s">
        <v>31</v>
      </c>
      <c r="E186" s="15" t="str">
        <f>B186</f>
        <v>Bilberry</v>
      </c>
      <c r="F186" s="12">
        <f>DATE(2019,5,1)</f>
        <v>43586</v>
      </c>
      <c r="G186" s="13" t="s">
        <v>174</v>
      </c>
      <c r="H186" s="13">
        <v>1</v>
      </c>
      <c r="I186" s="15" t="s">
        <v>175</v>
      </c>
      <c r="J186" s="15" t="s">
        <v>564</v>
      </c>
    </row>
    <row r="187" spans="1:35" s="14" customFormat="1" ht="12" customHeight="1" x14ac:dyDescent="0.25">
      <c r="A187" s="9">
        <v>185</v>
      </c>
      <c r="B187" s="14" t="s">
        <v>565</v>
      </c>
      <c r="C187" s="14" t="s">
        <v>566</v>
      </c>
      <c r="D187" s="13" t="s">
        <v>77</v>
      </c>
      <c r="E187" s="14" t="s">
        <v>565</v>
      </c>
      <c r="F187" s="12"/>
      <c r="G187" s="13">
        <v>2023</v>
      </c>
      <c r="H187" s="13">
        <v>0</v>
      </c>
      <c r="I187" s="15" t="s">
        <v>32</v>
      </c>
      <c r="J187" s="15" t="s">
        <v>70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s="14" customFormat="1" ht="12" customHeight="1" x14ac:dyDescent="0.25">
      <c r="A188" s="9">
        <v>186</v>
      </c>
      <c r="B188" s="14" t="s">
        <v>567</v>
      </c>
      <c r="C188" s="14" t="s">
        <v>568</v>
      </c>
      <c r="D188" s="13" t="s">
        <v>23</v>
      </c>
      <c r="E188" s="15" t="s">
        <v>569</v>
      </c>
      <c r="F188" s="12">
        <f>DATE(2019,1,24)</f>
        <v>43489</v>
      </c>
      <c r="G188" s="13">
        <v>2018</v>
      </c>
      <c r="H188" s="13">
        <v>1</v>
      </c>
      <c r="I188" s="15" t="s">
        <v>24</v>
      </c>
      <c r="J188" s="15" t="s">
        <v>570</v>
      </c>
    </row>
    <row r="189" spans="1:35" s="14" customFormat="1" ht="12" customHeight="1" x14ac:dyDescent="0.25">
      <c r="A189" s="9">
        <v>187</v>
      </c>
      <c r="B189" s="14" t="s">
        <v>571</v>
      </c>
      <c r="C189" s="14" t="s">
        <v>572</v>
      </c>
      <c r="D189" s="13" t="s">
        <v>31</v>
      </c>
      <c r="E189" s="15" t="s">
        <v>573</v>
      </c>
      <c r="F189" s="12">
        <f>DATE(2021,5,23)</f>
        <v>44339</v>
      </c>
      <c r="G189" s="13" t="s">
        <v>174</v>
      </c>
      <c r="H189" s="13">
        <v>1</v>
      </c>
      <c r="I189" s="15" t="s">
        <v>190</v>
      </c>
      <c r="J189" s="15" t="s">
        <v>198</v>
      </c>
    </row>
    <row r="190" spans="1:35" s="14" customFormat="1" ht="12" customHeight="1" x14ac:dyDescent="0.25">
      <c r="A190" s="9">
        <v>188</v>
      </c>
      <c r="B190" s="14" t="s">
        <v>574</v>
      </c>
      <c r="C190" s="14" t="s">
        <v>574</v>
      </c>
      <c r="D190" s="13" t="s">
        <v>31</v>
      </c>
      <c r="E190" s="15" t="str">
        <f>B190</f>
        <v>Biperiden</v>
      </c>
      <c r="F190" s="12">
        <f>DATE(2017,9,11)</f>
        <v>42989</v>
      </c>
      <c r="G190" s="13">
        <v>1959</v>
      </c>
      <c r="H190" s="13">
        <v>1</v>
      </c>
      <c r="I190" s="15" t="s">
        <v>100</v>
      </c>
      <c r="J190" s="15" t="s">
        <v>210</v>
      </c>
    </row>
    <row r="191" spans="1:35" s="14" customFormat="1" ht="12" customHeight="1" x14ac:dyDescent="0.25">
      <c r="A191" s="9">
        <v>189</v>
      </c>
      <c r="B191" s="14" t="s">
        <v>575</v>
      </c>
      <c r="C191" s="14" t="s">
        <v>575</v>
      </c>
      <c r="D191" s="13" t="s">
        <v>31</v>
      </c>
      <c r="E191" s="15" t="str">
        <f>B191</f>
        <v>Bisacodyl</v>
      </c>
      <c r="F191" s="12">
        <f>DATE(2017,9,29)</f>
        <v>43007</v>
      </c>
      <c r="G191" s="13">
        <v>2004</v>
      </c>
      <c r="H191" s="13">
        <v>1</v>
      </c>
      <c r="I191" s="15" t="s">
        <v>182</v>
      </c>
      <c r="J191" s="15" t="s">
        <v>176</v>
      </c>
    </row>
    <row r="192" spans="1:35" s="14" customFormat="1" ht="12" customHeight="1" x14ac:dyDescent="0.25">
      <c r="A192" s="9">
        <v>190</v>
      </c>
      <c r="B192" s="14" t="s">
        <v>576</v>
      </c>
      <c r="C192" s="14" t="s">
        <v>577</v>
      </c>
      <c r="D192" s="13" t="s">
        <v>31</v>
      </c>
      <c r="E192" s="15" t="s">
        <v>578</v>
      </c>
      <c r="F192" s="12">
        <f>DATE(2024,3,26)</f>
        <v>45377</v>
      </c>
      <c r="G192" s="13" t="s">
        <v>174</v>
      </c>
      <c r="H192" s="13">
        <v>1</v>
      </c>
      <c r="I192" s="15" t="s">
        <v>182</v>
      </c>
      <c r="J192" s="15" t="s">
        <v>397</v>
      </c>
    </row>
    <row r="193" spans="1:35" s="14" customFormat="1" ht="12" customHeight="1" x14ac:dyDescent="0.25">
      <c r="A193" s="9">
        <v>191</v>
      </c>
      <c r="B193" s="14" t="s">
        <v>579</v>
      </c>
      <c r="C193" s="14" t="s">
        <v>580</v>
      </c>
      <c r="D193" s="13" t="s">
        <v>31</v>
      </c>
      <c r="E193" s="15" t="str">
        <f>B193</f>
        <v>Bisoprolol</v>
      </c>
      <c r="F193" s="12">
        <f>DATE(2019,5,3)</f>
        <v>43588</v>
      </c>
      <c r="G193" s="13">
        <v>1992</v>
      </c>
      <c r="H193" s="13">
        <v>1</v>
      </c>
      <c r="I193" s="15" t="s">
        <v>49</v>
      </c>
      <c r="J193" s="15" t="s">
        <v>50</v>
      </c>
    </row>
    <row r="194" spans="1:35" s="14" customFormat="1" ht="12" customHeight="1" x14ac:dyDescent="0.25">
      <c r="A194" s="9">
        <v>192</v>
      </c>
      <c r="B194" s="14" t="s">
        <v>581</v>
      </c>
      <c r="C194" s="14" t="s">
        <v>582</v>
      </c>
      <c r="D194" s="13" t="s">
        <v>31</v>
      </c>
      <c r="E194" s="15" t="s">
        <v>127</v>
      </c>
      <c r="F194" s="12">
        <f>DATE(2017,9,10)</f>
        <v>42988</v>
      </c>
      <c r="G194" s="13">
        <v>1984</v>
      </c>
      <c r="H194" s="13">
        <v>1</v>
      </c>
      <c r="I194" s="15" t="s">
        <v>73</v>
      </c>
      <c r="J194" s="15" t="s">
        <v>74</v>
      </c>
    </row>
    <row r="195" spans="1:35" s="14" customFormat="1" ht="12" customHeight="1" x14ac:dyDescent="0.25">
      <c r="A195" s="9">
        <v>193</v>
      </c>
      <c r="B195" s="14" t="s">
        <v>583</v>
      </c>
      <c r="C195" s="14" t="s">
        <v>584</v>
      </c>
      <c r="D195" s="13" t="s">
        <v>31</v>
      </c>
      <c r="E195" s="15" t="s">
        <v>585</v>
      </c>
      <c r="F195" s="12">
        <f>DATE(2023,3,20)</f>
        <v>45005</v>
      </c>
      <c r="G195" s="13" t="s">
        <v>174</v>
      </c>
      <c r="H195" s="13">
        <v>1</v>
      </c>
      <c r="I195" s="15" t="s">
        <v>175</v>
      </c>
      <c r="J195" s="15" t="s">
        <v>397</v>
      </c>
    </row>
    <row r="196" spans="1:35" s="14" customFormat="1" ht="12" customHeight="1" x14ac:dyDescent="0.25">
      <c r="A196" s="9">
        <v>194</v>
      </c>
      <c r="B196" s="14" t="s">
        <v>586</v>
      </c>
      <c r="C196" s="14" t="s">
        <v>587</v>
      </c>
      <c r="D196" s="13" t="s">
        <v>77</v>
      </c>
      <c r="E196" s="15" t="s">
        <v>588</v>
      </c>
      <c r="F196" s="12"/>
      <c r="G196" s="13">
        <v>2000</v>
      </c>
      <c r="H196" s="13">
        <v>0</v>
      </c>
      <c r="I196" s="15" t="s">
        <v>230</v>
      </c>
      <c r="J196" s="15" t="s">
        <v>308</v>
      </c>
    </row>
    <row r="197" spans="1:35" s="14" customFormat="1" ht="12" customHeight="1" x14ac:dyDescent="0.25">
      <c r="A197" s="9">
        <v>195</v>
      </c>
      <c r="B197" s="14" t="s">
        <v>589</v>
      </c>
      <c r="C197" s="14" t="s">
        <v>188</v>
      </c>
      <c r="D197" s="13" t="s">
        <v>166</v>
      </c>
      <c r="E197" s="15" t="str">
        <f>B197</f>
        <v>Black cohosh</v>
      </c>
      <c r="F197" s="12">
        <f>DATE(2025,4,15)</f>
        <v>45762</v>
      </c>
      <c r="G197" s="13" t="s">
        <v>174</v>
      </c>
      <c r="H197" s="13">
        <v>1</v>
      </c>
      <c r="I197" s="15" t="s">
        <v>175</v>
      </c>
      <c r="J197" s="15" t="s">
        <v>590</v>
      </c>
    </row>
    <row r="198" spans="1:35" s="14" customFormat="1" ht="12" customHeight="1" x14ac:dyDescent="0.25">
      <c r="A198" s="9">
        <v>196</v>
      </c>
      <c r="B198" s="15" t="s">
        <v>591</v>
      </c>
      <c r="C198" s="15" t="s">
        <v>188</v>
      </c>
      <c r="D198" s="13" t="s">
        <v>31</v>
      </c>
      <c r="E198" s="15" t="s">
        <v>591</v>
      </c>
      <c r="F198" s="12">
        <f>DATE(2023,4,28)</f>
        <v>45044</v>
      </c>
      <c r="G198" s="13" t="s">
        <v>174</v>
      </c>
      <c r="H198" s="13">
        <v>1</v>
      </c>
      <c r="I198" s="15" t="s">
        <v>175</v>
      </c>
      <c r="J198" s="15" t="s">
        <v>191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s="14" customFormat="1" ht="12" customHeight="1" x14ac:dyDescent="0.25">
      <c r="A199" s="9">
        <v>197</v>
      </c>
      <c r="B199" s="14" t="s">
        <v>592</v>
      </c>
      <c r="C199" s="14" t="s">
        <v>593</v>
      </c>
      <c r="D199" s="13" t="s">
        <v>36</v>
      </c>
      <c r="E199" s="15" t="str">
        <f t="shared" ref="E199:E206" si="3">B199</f>
        <v>Bleomycin</v>
      </c>
      <c r="F199" s="12">
        <f>DATE(2017,9,3)</f>
        <v>42981</v>
      </c>
      <c r="G199" s="13">
        <v>1973</v>
      </c>
      <c r="H199" s="13">
        <v>1</v>
      </c>
      <c r="I199" s="15" t="s">
        <v>24</v>
      </c>
      <c r="J199" s="15" t="s">
        <v>132</v>
      </c>
    </row>
    <row r="200" spans="1:35" s="14" customFormat="1" ht="12" customHeight="1" x14ac:dyDescent="0.25">
      <c r="A200" s="9">
        <v>198</v>
      </c>
      <c r="B200" s="14" t="s">
        <v>594</v>
      </c>
      <c r="C200" s="14" t="s">
        <v>595</v>
      </c>
      <c r="D200" s="13" t="s">
        <v>23</v>
      </c>
      <c r="E200" s="15" t="str">
        <f t="shared" si="3"/>
        <v>Blinatumomab</v>
      </c>
      <c r="F200" s="12">
        <f>DATE(2017,10,2)</f>
        <v>43010</v>
      </c>
      <c r="G200" s="13">
        <v>2014</v>
      </c>
      <c r="H200" s="13">
        <v>1</v>
      </c>
      <c r="I200" s="15" t="s">
        <v>24</v>
      </c>
      <c r="J200" s="15" t="s">
        <v>596</v>
      </c>
    </row>
    <row r="201" spans="1:35" s="14" customFormat="1" ht="12" customHeight="1" x14ac:dyDescent="0.25">
      <c r="A201" s="9">
        <v>199</v>
      </c>
      <c r="B201" s="14" t="s">
        <v>597</v>
      </c>
      <c r="C201" s="14" t="s">
        <v>598</v>
      </c>
      <c r="D201" s="13" t="s">
        <v>44</v>
      </c>
      <c r="E201" s="15" t="str">
        <f t="shared" si="3"/>
        <v>Boceprevir</v>
      </c>
      <c r="F201" s="12">
        <f>DATE(2022,2,7)</f>
        <v>44599</v>
      </c>
      <c r="G201" s="13">
        <v>2011</v>
      </c>
      <c r="H201" s="13">
        <v>1</v>
      </c>
      <c r="I201" s="15" t="s">
        <v>15</v>
      </c>
      <c r="J201" s="15" t="s">
        <v>366</v>
      </c>
    </row>
    <row r="202" spans="1:35" s="14" customFormat="1" ht="12" customHeight="1" x14ac:dyDescent="0.25">
      <c r="A202" s="9">
        <v>200</v>
      </c>
      <c r="B202" s="14" t="s">
        <v>599</v>
      </c>
      <c r="C202" s="14" t="s">
        <v>600</v>
      </c>
      <c r="D202" s="13" t="s">
        <v>14</v>
      </c>
      <c r="E202" s="15" t="str">
        <f t="shared" si="3"/>
        <v>Bortezomib</v>
      </c>
      <c r="F202" s="12">
        <f>DATE(2017,9,29)</f>
        <v>43007</v>
      </c>
      <c r="G202" s="13">
        <v>2003</v>
      </c>
      <c r="H202" s="13">
        <v>1</v>
      </c>
      <c r="I202" s="15" t="s">
        <v>24</v>
      </c>
      <c r="J202" s="15" t="s">
        <v>601</v>
      </c>
    </row>
    <row r="203" spans="1:35" s="14" customFormat="1" ht="12" customHeight="1" x14ac:dyDescent="0.25">
      <c r="A203" s="9">
        <v>201</v>
      </c>
      <c r="B203" s="14" t="s">
        <v>602</v>
      </c>
      <c r="C203" s="14" t="s">
        <v>603</v>
      </c>
      <c r="D203" s="13" t="s">
        <v>14</v>
      </c>
      <c r="E203" s="15" t="str">
        <f t="shared" si="3"/>
        <v>Bosentan</v>
      </c>
      <c r="F203" s="12">
        <f>DATE(2017,10,2)</f>
        <v>43010</v>
      </c>
      <c r="G203" s="13">
        <v>2001</v>
      </c>
      <c r="H203" s="13">
        <v>1</v>
      </c>
      <c r="I203" s="15" t="s">
        <v>73</v>
      </c>
      <c r="J203" s="15" t="s">
        <v>216</v>
      </c>
    </row>
    <row r="204" spans="1:35" s="14" customFormat="1" ht="12" customHeight="1" x14ac:dyDescent="0.25">
      <c r="A204" s="9">
        <v>202</v>
      </c>
      <c r="B204" s="14" t="s">
        <v>604</v>
      </c>
      <c r="C204" s="14" t="s">
        <v>605</v>
      </c>
      <c r="D204" s="13" t="s">
        <v>36</v>
      </c>
      <c r="E204" s="15" t="str">
        <f t="shared" si="3"/>
        <v>Bosutinib</v>
      </c>
      <c r="F204" s="12">
        <f>DATE(2017,9,3)</f>
        <v>42981</v>
      </c>
      <c r="G204" s="13">
        <v>2012</v>
      </c>
      <c r="H204" s="13">
        <v>1</v>
      </c>
      <c r="I204" s="15" t="s">
        <v>24</v>
      </c>
      <c r="J204" s="15" t="s">
        <v>596</v>
      </c>
    </row>
    <row r="205" spans="1:35" s="14" customFormat="1" ht="12" customHeight="1" x14ac:dyDescent="0.25">
      <c r="A205" s="9">
        <v>203</v>
      </c>
      <c r="B205" s="14" t="s">
        <v>606</v>
      </c>
      <c r="C205" s="14" t="s">
        <v>188</v>
      </c>
      <c r="D205" s="13" t="s">
        <v>31</v>
      </c>
      <c r="E205" s="15" t="str">
        <f t="shared" si="3"/>
        <v>Boswellia serrata</v>
      </c>
      <c r="F205" s="12">
        <f>DATE(2020,8,24)</f>
        <v>44067</v>
      </c>
      <c r="G205" s="13" t="s">
        <v>174</v>
      </c>
      <c r="H205" s="13">
        <v>1</v>
      </c>
      <c r="I205" s="15" t="s">
        <v>175</v>
      </c>
      <c r="J205" s="15" t="s">
        <v>607</v>
      </c>
    </row>
    <row r="206" spans="1:35" s="14" customFormat="1" ht="12" customHeight="1" x14ac:dyDescent="0.25">
      <c r="A206" s="9">
        <v>204</v>
      </c>
      <c r="B206" s="14" t="s">
        <v>608</v>
      </c>
      <c r="C206" s="14" t="s">
        <v>609</v>
      </c>
      <c r="D206" s="13" t="s">
        <v>36</v>
      </c>
      <c r="E206" s="15" t="str">
        <f t="shared" si="3"/>
        <v>Bremelanotide</v>
      </c>
      <c r="F206" s="12">
        <f>DATE(2021,8,20)</f>
        <v>44428</v>
      </c>
      <c r="G206" s="13">
        <v>2019</v>
      </c>
      <c r="H206" s="13">
        <v>1</v>
      </c>
      <c r="I206" s="15" t="s">
        <v>473</v>
      </c>
      <c r="J206" s="15" t="s">
        <v>610</v>
      </c>
    </row>
    <row r="207" spans="1:35" s="14" customFormat="1" ht="12" customHeight="1" x14ac:dyDescent="0.3">
      <c r="A207" s="9">
        <v>205</v>
      </c>
      <c r="B207" s="14" t="s">
        <v>611</v>
      </c>
      <c r="C207" s="14" t="s">
        <v>612</v>
      </c>
      <c r="D207" s="13" t="s">
        <v>77</v>
      </c>
      <c r="E207" s="14" t="s">
        <v>611</v>
      </c>
      <c r="F207" s="9"/>
      <c r="G207" s="13">
        <v>2025</v>
      </c>
      <c r="H207" s="16">
        <v>0</v>
      </c>
      <c r="I207" s="14" t="s">
        <v>613</v>
      </c>
      <c r="J207" s="14" t="s">
        <v>614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</row>
    <row r="208" spans="1:35" s="14" customFormat="1" ht="12" customHeight="1" x14ac:dyDescent="0.25">
      <c r="A208" s="9">
        <v>206</v>
      </c>
      <c r="B208" s="14" t="s">
        <v>615</v>
      </c>
      <c r="C208" s="14" t="s">
        <v>616</v>
      </c>
      <c r="D208" s="13" t="s">
        <v>44</v>
      </c>
      <c r="E208" s="15" t="str">
        <f>B208</f>
        <v>Brentuximab Vedotin</v>
      </c>
      <c r="F208" s="12">
        <f>DATE(2024,1,30)</f>
        <v>45321</v>
      </c>
      <c r="G208" s="13">
        <v>2011</v>
      </c>
      <c r="H208" s="13">
        <v>1</v>
      </c>
      <c r="I208" s="15" t="s">
        <v>24</v>
      </c>
      <c r="J208" s="15" t="s">
        <v>487</v>
      </c>
    </row>
    <row r="209" spans="1:11" s="14" customFormat="1" ht="12" customHeight="1" x14ac:dyDescent="0.25">
      <c r="A209" s="9">
        <v>207</v>
      </c>
      <c r="B209" s="14" t="s">
        <v>617</v>
      </c>
      <c r="C209" s="14" t="s">
        <v>618</v>
      </c>
      <c r="D209" s="13" t="s">
        <v>31</v>
      </c>
      <c r="E209" s="15" t="str">
        <f>B209</f>
        <v>Brexanolone</v>
      </c>
      <c r="F209" s="12">
        <f>DATE(2019,4,15)</f>
        <v>43570</v>
      </c>
      <c r="G209" s="13">
        <v>2019</v>
      </c>
      <c r="H209" s="13">
        <v>1</v>
      </c>
      <c r="I209" s="15" t="s">
        <v>100</v>
      </c>
      <c r="J209" s="15" t="s">
        <v>619</v>
      </c>
    </row>
    <row r="210" spans="1:11" s="14" customFormat="1" ht="12" customHeight="1" x14ac:dyDescent="0.25">
      <c r="A210" s="9">
        <v>208</v>
      </c>
      <c r="B210" s="14" t="s">
        <v>620</v>
      </c>
      <c r="C210" s="14" t="s">
        <v>621</v>
      </c>
      <c r="D210" s="13" t="s">
        <v>31</v>
      </c>
      <c r="E210" s="15" t="str">
        <f>B210</f>
        <v>Brexpiprazole</v>
      </c>
      <c r="F210" s="12">
        <f>DATE(2023,6,5)</f>
        <v>45082</v>
      </c>
      <c r="G210" s="13">
        <v>2015</v>
      </c>
      <c r="H210" s="13">
        <v>1</v>
      </c>
      <c r="I210" s="15" t="s">
        <v>100</v>
      </c>
      <c r="J210" s="15" t="s">
        <v>328</v>
      </c>
    </row>
    <row r="211" spans="1:11" s="14" customFormat="1" ht="12" customHeight="1" x14ac:dyDescent="0.25">
      <c r="A211" s="9">
        <v>209</v>
      </c>
      <c r="B211" s="14" t="s">
        <v>622</v>
      </c>
      <c r="C211" s="14" t="s">
        <v>623</v>
      </c>
      <c r="D211" s="13" t="s">
        <v>23</v>
      </c>
      <c r="E211" s="15" t="str">
        <f>B211</f>
        <v>Brigatinib</v>
      </c>
      <c r="F211" s="12">
        <f>DATE(2018,8,3)</f>
        <v>43315</v>
      </c>
      <c r="G211" s="13">
        <v>2017</v>
      </c>
      <c r="H211" s="13">
        <v>1</v>
      </c>
      <c r="I211" s="15" t="s">
        <v>24</v>
      </c>
      <c r="J211" s="15" t="s">
        <v>624</v>
      </c>
    </row>
    <row r="212" spans="1:11" s="10" customFormat="1" ht="12" customHeight="1" x14ac:dyDescent="0.25">
      <c r="A212" s="9">
        <v>210</v>
      </c>
      <c r="B212" s="10" t="s">
        <v>625</v>
      </c>
      <c r="C212" s="10" t="s">
        <v>626</v>
      </c>
      <c r="D212" s="9" t="s">
        <v>36</v>
      </c>
      <c r="E212" s="15" t="s">
        <v>625</v>
      </c>
      <c r="F212" s="12">
        <f>DATE(2022,10,18)</f>
        <v>44852</v>
      </c>
      <c r="G212" s="9">
        <v>2021</v>
      </c>
      <c r="H212" s="9">
        <v>1</v>
      </c>
      <c r="I212" s="11" t="s">
        <v>15</v>
      </c>
      <c r="J212" s="11" t="s">
        <v>627</v>
      </c>
    </row>
    <row r="213" spans="1:11" s="14" customFormat="1" ht="12" customHeight="1" x14ac:dyDescent="0.25">
      <c r="A213" s="9">
        <v>211</v>
      </c>
      <c r="B213" s="14" t="s">
        <v>628</v>
      </c>
      <c r="C213" s="14" t="s">
        <v>629</v>
      </c>
      <c r="D213" s="27" t="s">
        <v>31</v>
      </c>
      <c r="E213" s="15" t="str">
        <f>B213</f>
        <v>Brivaracetam</v>
      </c>
      <c r="F213" s="12">
        <f>DATE(2017,10,2)</f>
        <v>43010</v>
      </c>
      <c r="G213" s="13">
        <v>2016</v>
      </c>
      <c r="H213" s="13">
        <v>1</v>
      </c>
      <c r="I213" s="11" t="s">
        <v>100</v>
      </c>
      <c r="J213" s="15" t="s">
        <v>630</v>
      </c>
    </row>
    <row r="214" spans="1:11" s="14" customFormat="1" ht="12" customHeight="1" x14ac:dyDescent="0.25">
      <c r="A214" s="9">
        <v>212</v>
      </c>
      <c r="B214" s="14" t="s">
        <v>631</v>
      </c>
      <c r="C214" s="14" t="s">
        <v>632</v>
      </c>
      <c r="D214" s="27" t="s">
        <v>31</v>
      </c>
      <c r="E214" s="15" t="str">
        <f>B214</f>
        <v>Brodalumab</v>
      </c>
      <c r="F214" s="12">
        <f>DATE(2017,10,2)</f>
        <v>43010</v>
      </c>
      <c r="G214" s="13">
        <v>2017</v>
      </c>
      <c r="H214" s="13">
        <v>1</v>
      </c>
      <c r="I214" s="11" t="s">
        <v>32</v>
      </c>
      <c r="J214" s="15" t="s">
        <v>70</v>
      </c>
    </row>
    <row r="215" spans="1:11" s="14" customFormat="1" ht="12" customHeight="1" x14ac:dyDescent="0.25">
      <c r="A215" s="9">
        <v>213</v>
      </c>
      <c r="B215" s="14" t="s">
        <v>633</v>
      </c>
      <c r="C215" s="14" t="s">
        <v>634</v>
      </c>
      <c r="D215" s="9" t="s">
        <v>31</v>
      </c>
      <c r="E215" s="15" t="s">
        <v>633</v>
      </c>
      <c r="F215" s="12">
        <f>DATE(2024,7,31)</f>
        <v>45504</v>
      </c>
      <c r="G215" s="16">
        <v>2019</v>
      </c>
      <c r="H215" s="13">
        <v>1</v>
      </c>
      <c r="I215" s="11" t="s">
        <v>78</v>
      </c>
      <c r="J215" s="15" t="s">
        <v>115</v>
      </c>
    </row>
    <row r="216" spans="1:11" s="14" customFormat="1" ht="12" customHeight="1" x14ac:dyDescent="0.3">
      <c r="A216" s="9">
        <v>214</v>
      </c>
      <c r="B216" s="15" t="s">
        <v>635</v>
      </c>
      <c r="C216" s="19" t="s">
        <v>636</v>
      </c>
      <c r="D216" s="9" t="s">
        <v>31</v>
      </c>
      <c r="E216" s="15" t="s">
        <v>637</v>
      </c>
      <c r="F216" s="12">
        <f>DATE(2024,2,5)</f>
        <v>45327</v>
      </c>
      <c r="G216" s="13" t="s">
        <v>174</v>
      </c>
      <c r="H216" s="13">
        <v>1</v>
      </c>
      <c r="I216" s="11" t="s">
        <v>175</v>
      </c>
      <c r="J216" s="15" t="s">
        <v>638</v>
      </c>
      <c r="K216" s="13"/>
    </row>
    <row r="217" spans="1:11" s="14" customFormat="1" ht="12" customHeight="1" x14ac:dyDescent="0.25">
      <c r="A217" s="9">
        <v>215</v>
      </c>
      <c r="B217" s="14" t="s">
        <v>639</v>
      </c>
      <c r="C217" s="14" t="s">
        <v>640</v>
      </c>
      <c r="D217" s="9" t="s">
        <v>36</v>
      </c>
      <c r="E217" s="15" t="str">
        <f>B217</f>
        <v>Bromocriptine</v>
      </c>
      <c r="F217" s="12">
        <f>DATE(2017,10,2)</f>
        <v>43010</v>
      </c>
      <c r="G217" s="13">
        <v>1978</v>
      </c>
      <c r="H217" s="13">
        <v>1</v>
      </c>
      <c r="I217" s="11" t="s">
        <v>100</v>
      </c>
      <c r="J217" s="15" t="s">
        <v>210</v>
      </c>
    </row>
    <row r="218" spans="1:11" s="14" customFormat="1" ht="12" customHeight="1" x14ac:dyDescent="0.25">
      <c r="A218" s="9">
        <v>216</v>
      </c>
      <c r="B218" s="14" t="s">
        <v>641</v>
      </c>
      <c r="C218" s="14" t="s">
        <v>642</v>
      </c>
      <c r="D218" s="9" t="s">
        <v>31</v>
      </c>
      <c r="E218" s="15" t="str">
        <f>B218</f>
        <v>Brompheniramine</v>
      </c>
      <c r="F218" s="12">
        <f>DATE(2017,1,17)</f>
        <v>42752</v>
      </c>
      <c r="G218" s="13" t="s">
        <v>63</v>
      </c>
      <c r="H218" s="13">
        <v>1</v>
      </c>
      <c r="I218" s="11" t="s">
        <v>73</v>
      </c>
      <c r="J218" s="15" t="s">
        <v>85</v>
      </c>
    </row>
    <row r="219" spans="1:11" s="14" customFormat="1" ht="12" customHeight="1" x14ac:dyDescent="0.25">
      <c r="A219" s="9">
        <v>217</v>
      </c>
      <c r="B219" s="14" t="s">
        <v>643</v>
      </c>
      <c r="C219" s="14" t="s">
        <v>188</v>
      </c>
      <c r="D219" s="9" t="s">
        <v>36</v>
      </c>
      <c r="E219" s="15" t="s">
        <v>188</v>
      </c>
      <c r="F219" s="12">
        <f>DATE(2023,3,3)</f>
        <v>44988</v>
      </c>
      <c r="G219" s="13" t="s">
        <v>174</v>
      </c>
      <c r="H219" s="13">
        <v>1</v>
      </c>
      <c r="I219" s="11" t="s">
        <v>175</v>
      </c>
      <c r="J219" s="15" t="s">
        <v>644</v>
      </c>
    </row>
    <row r="220" spans="1:11" s="14" customFormat="1" ht="12" customHeight="1" x14ac:dyDescent="0.25">
      <c r="A220" s="9">
        <v>218</v>
      </c>
      <c r="B220" s="14" t="s">
        <v>645</v>
      </c>
      <c r="C220" s="14" t="s">
        <v>646</v>
      </c>
      <c r="D220" s="9" t="s">
        <v>31</v>
      </c>
      <c r="E220" s="15" t="str">
        <f>B220</f>
        <v>Budesonide</v>
      </c>
      <c r="F220" s="12">
        <f>DATE(2020,11,14)</f>
        <v>44149</v>
      </c>
      <c r="G220" s="13">
        <v>1994</v>
      </c>
      <c r="H220" s="13">
        <v>1</v>
      </c>
      <c r="I220" s="11" t="s">
        <v>45</v>
      </c>
      <c r="J220" s="15" t="s">
        <v>537</v>
      </c>
    </row>
    <row r="221" spans="1:11" s="14" customFormat="1" ht="12" customHeight="1" x14ac:dyDescent="0.25">
      <c r="A221" s="9">
        <v>219</v>
      </c>
      <c r="B221" s="14" t="s">
        <v>647</v>
      </c>
      <c r="C221" s="14" t="s">
        <v>648</v>
      </c>
      <c r="D221" s="9" t="s">
        <v>31</v>
      </c>
      <c r="E221" s="15" t="s">
        <v>649</v>
      </c>
      <c r="F221" s="12">
        <f>DATE(2021,10,13)</f>
        <v>44482</v>
      </c>
      <c r="G221" s="13">
        <v>1983</v>
      </c>
      <c r="H221" s="13">
        <v>1</v>
      </c>
      <c r="I221" s="11" t="s">
        <v>49</v>
      </c>
      <c r="J221" s="15" t="s">
        <v>59</v>
      </c>
    </row>
    <row r="222" spans="1:11" s="14" customFormat="1" ht="12" customHeight="1" x14ac:dyDescent="0.25">
      <c r="A222" s="9">
        <v>220</v>
      </c>
      <c r="B222" s="14" t="s">
        <v>650</v>
      </c>
      <c r="C222" s="14" t="s">
        <v>651</v>
      </c>
      <c r="D222" s="9" t="s">
        <v>14</v>
      </c>
      <c r="E222" s="15" t="s">
        <v>339</v>
      </c>
      <c r="F222" s="12">
        <f>DATE(2017,1,20)</f>
        <v>42755</v>
      </c>
      <c r="G222" s="13">
        <v>1990</v>
      </c>
      <c r="H222" s="13">
        <v>1</v>
      </c>
      <c r="I222" s="11" t="s">
        <v>100</v>
      </c>
      <c r="J222" s="15" t="s">
        <v>340</v>
      </c>
    </row>
    <row r="223" spans="1:11" s="14" customFormat="1" ht="12" customHeight="1" x14ac:dyDescent="0.25">
      <c r="A223" s="9">
        <v>221</v>
      </c>
      <c r="B223" s="14" t="s">
        <v>652</v>
      </c>
      <c r="C223" s="14" t="s">
        <v>653</v>
      </c>
      <c r="D223" s="9" t="s">
        <v>654</v>
      </c>
      <c r="E223" s="15" t="str">
        <f>B223</f>
        <v>Buprenorphine</v>
      </c>
      <c r="F223" s="12">
        <f>DATE(2020,11,24)</f>
        <v>44159</v>
      </c>
      <c r="G223" s="13">
        <v>1981</v>
      </c>
      <c r="H223" s="13">
        <v>1</v>
      </c>
      <c r="I223" s="11" t="s">
        <v>40</v>
      </c>
      <c r="J223" s="15" t="s">
        <v>655</v>
      </c>
    </row>
    <row r="224" spans="1:11" s="14" customFormat="1" ht="12" customHeight="1" x14ac:dyDescent="0.25">
      <c r="A224" s="9">
        <v>222</v>
      </c>
      <c r="B224" s="14" t="s">
        <v>656</v>
      </c>
      <c r="C224" s="14" t="s">
        <v>657</v>
      </c>
      <c r="D224" s="9" t="s">
        <v>14</v>
      </c>
      <c r="E224" s="15" t="str">
        <f>B224</f>
        <v>Bupropion</v>
      </c>
      <c r="F224" s="12">
        <f>DATE(2017,9,10)</f>
        <v>42988</v>
      </c>
      <c r="G224" s="13">
        <v>1985</v>
      </c>
      <c r="H224" s="13">
        <v>1</v>
      </c>
      <c r="I224" s="11" t="s">
        <v>100</v>
      </c>
      <c r="J224" s="15" t="s">
        <v>250</v>
      </c>
    </row>
    <row r="225" spans="1:35" s="14" customFormat="1" ht="12" customHeight="1" x14ac:dyDescent="0.25">
      <c r="A225" s="9">
        <v>223</v>
      </c>
      <c r="B225" s="14" t="s">
        <v>658</v>
      </c>
      <c r="C225" s="14" t="s">
        <v>659</v>
      </c>
      <c r="D225" s="9" t="s">
        <v>31</v>
      </c>
      <c r="E225" s="15" t="str">
        <f>B225</f>
        <v>Burosumab</v>
      </c>
      <c r="F225" s="12">
        <f>DATE(2018,8,8)</f>
        <v>43320</v>
      </c>
      <c r="G225" s="13">
        <v>2018</v>
      </c>
      <c r="H225" s="13">
        <v>1</v>
      </c>
      <c r="I225" s="11" t="s">
        <v>104</v>
      </c>
      <c r="J225" s="15" t="s">
        <v>660</v>
      </c>
    </row>
    <row r="226" spans="1:35" s="14" customFormat="1" ht="12" customHeight="1" x14ac:dyDescent="0.25">
      <c r="A226" s="9">
        <v>224</v>
      </c>
      <c r="B226" s="14" t="s">
        <v>661</v>
      </c>
      <c r="C226" s="14" t="s">
        <v>662</v>
      </c>
      <c r="D226" s="9" t="s">
        <v>31</v>
      </c>
      <c r="E226" s="15" t="str">
        <f>B226</f>
        <v>Buspirone</v>
      </c>
      <c r="F226" s="12">
        <f>DATE(2017,9,10)</f>
        <v>42988</v>
      </c>
      <c r="G226" s="13">
        <v>1986</v>
      </c>
      <c r="H226" s="13">
        <v>1</v>
      </c>
      <c r="I226" s="11" t="s">
        <v>100</v>
      </c>
      <c r="J226" s="15" t="s">
        <v>250</v>
      </c>
    </row>
    <row r="227" spans="1:35" s="14" customFormat="1" ht="12" customHeight="1" x14ac:dyDescent="0.25">
      <c r="A227" s="9">
        <v>225</v>
      </c>
      <c r="B227" s="14" t="s">
        <v>663</v>
      </c>
      <c r="C227" s="14" t="s">
        <v>664</v>
      </c>
      <c r="D227" s="9" t="s">
        <v>166</v>
      </c>
      <c r="E227" s="15" t="str">
        <f>B227</f>
        <v>Busulfan</v>
      </c>
      <c r="F227" s="12">
        <f>DATE(2017,10,2)</f>
        <v>43010</v>
      </c>
      <c r="G227" s="13">
        <v>1954</v>
      </c>
      <c r="H227" s="13">
        <v>1</v>
      </c>
      <c r="I227" s="11" t="s">
        <v>24</v>
      </c>
      <c r="J227" s="15" t="s">
        <v>357</v>
      </c>
    </row>
    <row r="228" spans="1:35" s="14" customFormat="1" ht="12" customHeight="1" x14ac:dyDescent="0.25">
      <c r="A228" s="9">
        <v>226</v>
      </c>
      <c r="B228" s="14" t="s">
        <v>665</v>
      </c>
      <c r="C228" s="14" t="s">
        <v>666</v>
      </c>
      <c r="D228" s="9" t="s">
        <v>31</v>
      </c>
      <c r="E228" s="15" t="s">
        <v>258</v>
      </c>
      <c r="F228" s="12">
        <f>DATE(2021,10,21)</f>
        <v>44490</v>
      </c>
      <c r="G228" s="13" t="s">
        <v>63</v>
      </c>
      <c r="H228" s="13">
        <v>1</v>
      </c>
      <c r="I228" s="11" t="s">
        <v>100</v>
      </c>
      <c r="J228" s="15" t="s">
        <v>204</v>
      </c>
    </row>
    <row r="229" spans="1:35" s="14" customFormat="1" ht="12" customHeight="1" x14ac:dyDescent="0.25">
      <c r="A229" s="9">
        <v>227</v>
      </c>
      <c r="B229" s="14" t="s">
        <v>667</v>
      </c>
      <c r="C229" s="14" t="s">
        <v>668</v>
      </c>
      <c r="D229" s="9" t="s">
        <v>31</v>
      </c>
      <c r="E229" s="15" t="s">
        <v>258</v>
      </c>
      <c r="F229" s="12">
        <f>DATE(2021,10,21)</f>
        <v>44490</v>
      </c>
      <c r="G229" s="13">
        <v>1990</v>
      </c>
      <c r="H229" s="13">
        <v>1</v>
      </c>
      <c r="I229" s="11" t="s">
        <v>100</v>
      </c>
      <c r="J229" s="15" t="s">
        <v>204</v>
      </c>
    </row>
    <row r="230" spans="1:35" s="14" customFormat="1" ht="12" customHeight="1" x14ac:dyDescent="0.25">
      <c r="A230" s="9">
        <v>228</v>
      </c>
      <c r="B230" s="14" t="s">
        <v>669</v>
      </c>
      <c r="C230" s="14" t="s">
        <v>670</v>
      </c>
      <c r="D230" s="9" t="s">
        <v>31</v>
      </c>
      <c r="E230" s="15" t="str">
        <f>B230</f>
        <v>Butorphanol</v>
      </c>
      <c r="F230" s="12">
        <f>DATE(2021,2,9)</f>
        <v>44236</v>
      </c>
      <c r="G230" s="13">
        <v>1978</v>
      </c>
      <c r="H230" s="13">
        <v>1</v>
      </c>
      <c r="I230" s="11" t="s">
        <v>54</v>
      </c>
      <c r="J230" s="28" t="s">
        <v>148</v>
      </c>
    </row>
    <row r="231" spans="1:35" s="14" customFormat="1" ht="12" customHeight="1" x14ac:dyDescent="0.25">
      <c r="A231" s="9">
        <v>229</v>
      </c>
      <c r="B231" s="14" t="s">
        <v>671</v>
      </c>
      <c r="C231" s="14" t="s">
        <v>188</v>
      </c>
      <c r="D231" s="9" t="s">
        <v>14</v>
      </c>
      <c r="E231" s="15" t="str">
        <f>B231</f>
        <v>Butterbur</v>
      </c>
      <c r="F231" s="12">
        <f>DATE(2019,2,21)</f>
        <v>43517</v>
      </c>
      <c r="G231" s="13" t="s">
        <v>174</v>
      </c>
      <c r="H231" s="13">
        <v>1</v>
      </c>
      <c r="I231" s="11" t="s">
        <v>175</v>
      </c>
      <c r="J231" s="15" t="s">
        <v>672</v>
      </c>
    </row>
    <row r="232" spans="1:35" s="14" customFormat="1" ht="12" customHeight="1" x14ac:dyDescent="0.25">
      <c r="A232" s="9">
        <v>230</v>
      </c>
      <c r="B232" s="15" t="s">
        <v>673</v>
      </c>
      <c r="C232" s="15" t="s">
        <v>674</v>
      </c>
      <c r="D232" s="9" t="s">
        <v>31</v>
      </c>
      <c r="E232" s="15" t="s">
        <v>675</v>
      </c>
      <c r="F232" s="12">
        <f>DATE(2024,6,20)</f>
        <v>45463</v>
      </c>
      <c r="G232" s="13">
        <v>2008</v>
      </c>
      <c r="H232" s="13">
        <v>1</v>
      </c>
      <c r="I232" s="11" t="s">
        <v>104</v>
      </c>
      <c r="J232" s="15" t="s">
        <v>527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s="14" customFormat="1" ht="12" customHeight="1" x14ac:dyDescent="0.25">
      <c r="A233" s="9">
        <v>231</v>
      </c>
      <c r="B233" s="15" t="s">
        <v>676</v>
      </c>
      <c r="C233" s="15" t="s">
        <v>677</v>
      </c>
      <c r="D233" s="9" t="s">
        <v>31</v>
      </c>
      <c r="E233" s="15" t="s">
        <v>675</v>
      </c>
      <c r="F233" s="12">
        <f>DATE(2024,6,20)</f>
        <v>45463</v>
      </c>
      <c r="G233" s="13">
        <v>2014</v>
      </c>
      <c r="H233" s="13">
        <v>1</v>
      </c>
      <c r="I233" s="11" t="s">
        <v>104</v>
      </c>
      <c r="J233" s="15" t="s">
        <v>527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s="14" customFormat="1" ht="12" customHeight="1" x14ac:dyDescent="0.25">
      <c r="A234" s="9">
        <v>232</v>
      </c>
      <c r="B234" s="14" t="s">
        <v>678</v>
      </c>
      <c r="C234" s="14" t="s">
        <v>679</v>
      </c>
      <c r="D234" s="9" t="s">
        <v>23</v>
      </c>
      <c r="E234" s="15" t="str">
        <f>B234</f>
        <v>Cabazitaxel</v>
      </c>
      <c r="F234" s="12">
        <f>DATE(2020,9,7)</f>
        <v>44081</v>
      </c>
      <c r="G234" s="13">
        <v>2010</v>
      </c>
      <c r="H234" s="13">
        <v>1</v>
      </c>
      <c r="I234" s="11" t="s">
        <v>24</v>
      </c>
      <c r="J234" s="15" t="s">
        <v>28</v>
      </c>
    </row>
    <row r="235" spans="1:35" s="14" customFormat="1" ht="12" customHeight="1" x14ac:dyDescent="0.25">
      <c r="A235" s="9">
        <v>233</v>
      </c>
      <c r="B235" s="14" t="s">
        <v>680</v>
      </c>
      <c r="C235" s="14" t="s">
        <v>681</v>
      </c>
      <c r="D235" s="9" t="s">
        <v>77</v>
      </c>
      <c r="E235" s="15"/>
      <c r="F235" s="12"/>
      <c r="G235" s="13">
        <v>1996</v>
      </c>
      <c r="H235" s="13">
        <v>0</v>
      </c>
      <c r="I235" s="11" t="s">
        <v>100</v>
      </c>
      <c r="J235" s="15" t="s">
        <v>210</v>
      </c>
    </row>
    <row r="236" spans="1:35" s="14" customFormat="1" ht="12" customHeight="1" x14ac:dyDescent="0.25">
      <c r="A236" s="9">
        <v>234</v>
      </c>
      <c r="B236" s="14" t="s">
        <v>682</v>
      </c>
      <c r="C236" s="14" t="s">
        <v>683</v>
      </c>
      <c r="D236" s="9" t="s">
        <v>23</v>
      </c>
      <c r="E236" s="15" t="s">
        <v>682</v>
      </c>
      <c r="F236" s="12">
        <f>DATE(2023,6,17)</f>
        <v>45094</v>
      </c>
      <c r="G236" s="16">
        <v>2021</v>
      </c>
      <c r="H236" s="13">
        <v>1</v>
      </c>
      <c r="I236" s="11" t="s">
        <v>15</v>
      </c>
      <c r="J236" s="15" t="s">
        <v>16</v>
      </c>
    </row>
    <row r="237" spans="1:35" s="14" customFormat="1" ht="12" customHeight="1" x14ac:dyDescent="0.25">
      <c r="A237" s="9">
        <v>235</v>
      </c>
      <c r="B237" s="14" t="s">
        <v>684</v>
      </c>
      <c r="C237" s="14" t="s">
        <v>685</v>
      </c>
      <c r="D237" s="9" t="s">
        <v>23</v>
      </c>
      <c r="E237" s="15" t="str">
        <f>B237</f>
        <v>Cabozantinib</v>
      </c>
      <c r="F237" s="12">
        <f>DATE(2017,1,5)</f>
        <v>42740</v>
      </c>
      <c r="G237" s="13">
        <v>2012</v>
      </c>
      <c r="H237" s="13">
        <v>1</v>
      </c>
      <c r="I237" s="11" t="s">
        <v>24</v>
      </c>
      <c r="J237" s="15" t="s">
        <v>686</v>
      </c>
    </row>
    <row r="238" spans="1:35" s="14" customFormat="1" ht="12" customHeight="1" x14ac:dyDescent="0.25">
      <c r="A238" s="9">
        <v>236</v>
      </c>
      <c r="B238" s="14" t="s">
        <v>687</v>
      </c>
      <c r="C238" s="14" t="s">
        <v>188</v>
      </c>
      <c r="D238" s="9" t="s">
        <v>31</v>
      </c>
      <c r="E238" s="15" t="s">
        <v>688</v>
      </c>
      <c r="F238" s="12">
        <f>DATE(2019,6,5)</f>
        <v>43621</v>
      </c>
      <c r="G238" s="13" t="s">
        <v>174</v>
      </c>
      <c r="H238" s="13">
        <v>1</v>
      </c>
      <c r="I238" s="11" t="s">
        <v>66</v>
      </c>
      <c r="J238" s="15" t="s">
        <v>689</v>
      </c>
    </row>
    <row r="239" spans="1:35" s="14" customFormat="1" ht="12" customHeight="1" x14ac:dyDescent="0.25">
      <c r="A239" s="9">
        <v>237</v>
      </c>
      <c r="B239" s="14" t="s">
        <v>690</v>
      </c>
      <c r="C239" s="14" t="s">
        <v>691</v>
      </c>
      <c r="D239" s="9" t="s">
        <v>31</v>
      </c>
      <c r="E239" s="15" t="str">
        <f>B239</f>
        <v>Caffeine</v>
      </c>
      <c r="F239" s="12">
        <f>DATE(2020,7,7)</f>
        <v>44019</v>
      </c>
      <c r="G239" s="13" t="s">
        <v>174</v>
      </c>
      <c r="H239" s="13">
        <v>1</v>
      </c>
      <c r="I239" s="11" t="s">
        <v>100</v>
      </c>
      <c r="J239" s="15" t="s">
        <v>268</v>
      </c>
    </row>
    <row r="240" spans="1:35" s="14" customFormat="1" ht="12" customHeight="1" x14ac:dyDescent="0.25">
      <c r="A240" s="9">
        <v>238</v>
      </c>
      <c r="B240" s="14" t="s">
        <v>692</v>
      </c>
      <c r="C240" s="14" t="s">
        <v>693</v>
      </c>
      <c r="D240" s="9" t="s">
        <v>166</v>
      </c>
      <c r="E240" s="15" t="s">
        <v>355</v>
      </c>
      <c r="F240" s="12">
        <f>DATE(2023,9,19)</f>
        <v>45188</v>
      </c>
      <c r="G240" s="13">
        <v>2018</v>
      </c>
      <c r="H240" s="13">
        <v>1</v>
      </c>
      <c r="I240" s="11" t="s">
        <v>24</v>
      </c>
      <c r="J240" s="15" t="s">
        <v>694</v>
      </c>
    </row>
    <row r="241" spans="1:35" s="14" customFormat="1" ht="12" customHeight="1" x14ac:dyDescent="0.25">
      <c r="A241" s="9">
        <v>239</v>
      </c>
      <c r="B241" s="14" t="s">
        <v>695</v>
      </c>
      <c r="C241" s="14" t="s">
        <v>696</v>
      </c>
      <c r="D241" s="9" t="s">
        <v>31</v>
      </c>
      <c r="E241" s="15"/>
      <c r="F241" s="12"/>
      <c r="G241" s="13">
        <v>1978</v>
      </c>
      <c r="H241" s="13">
        <v>0</v>
      </c>
      <c r="I241" s="11" t="s">
        <v>45</v>
      </c>
      <c r="J241" s="15" t="s">
        <v>144</v>
      </c>
    </row>
    <row r="242" spans="1:35" s="14" customFormat="1" ht="12" customHeight="1" x14ac:dyDescent="0.25">
      <c r="A242" s="9">
        <v>240</v>
      </c>
      <c r="B242" s="14" t="s">
        <v>697</v>
      </c>
      <c r="C242" s="14" t="s">
        <v>697</v>
      </c>
      <c r="D242" s="9" t="s">
        <v>31</v>
      </c>
      <c r="E242" s="15" t="s">
        <v>698</v>
      </c>
      <c r="F242" s="12">
        <f>DATE(2021,5,27)</f>
        <v>44343</v>
      </c>
      <c r="G242" s="13">
        <v>1978</v>
      </c>
      <c r="H242" s="13">
        <v>1</v>
      </c>
      <c r="I242" s="11" t="s">
        <v>190</v>
      </c>
      <c r="J242" s="15" t="s">
        <v>198</v>
      </c>
    </row>
    <row r="243" spans="1:35" s="14" customFormat="1" ht="12" customHeight="1" x14ac:dyDescent="0.25">
      <c r="A243" s="9">
        <v>241</v>
      </c>
      <c r="B243" s="14" t="s">
        <v>699</v>
      </c>
      <c r="C243" s="14" t="s">
        <v>700</v>
      </c>
      <c r="D243" s="9" t="s">
        <v>31</v>
      </c>
      <c r="E243" s="15" t="s">
        <v>701</v>
      </c>
      <c r="F243" s="12">
        <f>DATE(2023,2,10)</f>
        <v>44967</v>
      </c>
      <c r="G243" s="13">
        <v>2013</v>
      </c>
      <c r="H243" s="13">
        <v>1</v>
      </c>
      <c r="I243" s="11" t="s">
        <v>45</v>
      </c>
      <c r="J243" s="15" t="s">
        <v>46</v>
      </c>
    </row>
    <row r="244" spans="1:35" s="14" customFormat="1" ht="12" customHeight="1" x14ac:dyDescent="0.25">
      <c r="A244" s="9">
        <v>242</v>
      </c>
      <c r="B244" s="14" t="s">
        <v>702</v>
      </c>
      <c r="C244" s="14" t="s">
        <v>703</v>
      </c>
      <c r="D244" s="9" t="s">
        <v>23</v>
      </c>
      <c r="E244" s="15" t="str">
        <f>B244</f>
        <v>Canakinumab</v>
      </c>
      <c r="F244" s="12">
        <f>DATE(2020,4,26)</f>
        <v>43947</v>
      </c>
      <c r="G244" s="13">
        <v>2009</v>
      </c>
      <c r="H244" s="13">
        <v>1</v>
      </c>
      <c r="I244" s="11" t="s">
        <v>19</v>
      </c>
      <c r="J244" s="15" t="s">
        <v>704</v>
      </c>
    </row>
    <row r="245" spans="1:35" s="14" customFormat="1" ht="12" customHeight="1" x14ac:dyDescent="0.25">
      <c r="A245" s="9">
        <v>243</v>
      </c>
      <c r="B245" s="14" t="s">
        <v>705</v>
      </c>
      <c r="C245" s="14" t="s">
        <v>706</v>
      </c>
      <c r="D245" s="9" t="s">
        <v>14</v>
      </c>
      <c r="E245" s="15" t="str">
        <f>B245</f>
        <v>Candesartan</v>
      </c>
      <c r="F245" s="12">
        <f>DATE(2017,1,13)</f>
        <v>42748</v>
      </c>
      <c r="G245" s="13">
        <v>1998</v>
      </c>
      <c r="H245" s="13">
        <v>1</v>
      </c>
      <c r="I245" s="11" t="s">
        <v>49</v>
      </c>
      <c r="J245" s="15" t="s">
        <v>50</v>
      </c>
    </row>
    <row r="246" spans="1:35" s="14" customFormat="1" ht="12" customHeight="1" x14ac:dyDescent="0.25">
      <c r="A246" s="9">
        <v>244</v>
      </c>
      <c r="B246" s="14" t="s">
        <v>707</v>
      </c>
      <c r="C246" s="14" t="s">
        <v>708</v>
      </c>
      <c r="D246" s="9" t="s">
        <v>31</v>
      </c>
      <c r="E246" s="15" t="str">
        <f>B246</f>
        <v>Cangrelor</v>
      </c>
      <c r="F246" s="12">
        <f>DATE(2017,10,3)</f>
        <v>43011</v>
      </c>
      <c r="G246" s="13">
        <v>2015</v>
      </c>
      <c r="H246" s="13">
        <v>1</v>
      </c>
      <c r="I246" s="11" t="s">
        <v>230</v>
      </c>
      <c r="J246" s="15" t="s">
        <v>709</v>
      </c>
    </row>
    <row r="247" spans="1:35" s="14" customFormat="1" ht="12" customHeight="1" x14ac:dyDescent="0.25">
      <c r="A247" s="9">
        <v>245</v>
      </c>
      <c r="B247" s="14" t="s">
        <v>710</v>
      </c>
      <c r="C247" s="14" t="s">
        <v>711</v>
      </c>
      <c r="D247" s="9" t="s">
        <v>23</v>
      </c>
      <c r="E247" s="15" t="str">
        <f>B247</f>
        <v>Cannabidiol</v>
      </c>
      <c r="F247" s="12">
        <f>DATE(2019,1,15)</f>
        <v>43480</v>
      </c>
      <c r="G247" s="13">
        <v>2018</v>
      </c>
      <c r="H247" s="13">
        <v>1</v>
      </c>
      <c r="I247" s="11" t="s">
        <v>100</v>
      </c>
      <c r="J247" s="15" t="s">
        <v>630</v>
      </c>
    </row>
    <row r="248" spans="1:35" s="14" customFormat="1" ht="12" customHeight="1" x14ac:dyDescent="0.25">
      <c r="A248" s="9">
        <v>246</v>
      </c>
      <c r="B248" s="14" t="s">
        <v>712</v>
      </c>
      <c r="C248" s="14" t="s">
        <v>713</v>
      </c>
      <c r="D248" s="9" t="s">
        <v>23</v>
      </c>
      <c r="E248" s="15" t="str">
        <f>B248</f>
        <v>Capecitabine</v>
      </c>
      <c r="F248" s="12">
        <f>DATE(2017,1,15)</f>
        <v>42750</v>
      </c>
      <c r="G248" s="13">
        <v>1998</v>
      </c>
      <c r="H248" s="13">
        <v>1</v>
      </c>
      <c r="I248" s="11" t="s">
        <v>24</v>
      </c>
      <c r="J248" s="15" t="s">
        <v>207</v>
      </c>
    </row>
    <row r="249" spans="1:35" s="14" customFormat="1" ht="12" customHeight="1" x14ac:dyDescent="0.25">
      <c r="A249" s="9">
        <v>247</v>
      </c>
      <c r="B249" s="14" t="s">
        <v>714</v>
      </c>
      <c r="C249" s="14" t="s">
        <v>715</v>
      </c>
      <c r="D249" s="9" t="s">
        <v>23</v>
      </c>
      <c r="E249" s="14" t="s">
        <v>714</v>
      </c>
      <c r="F249" s="12">
        <f>DATE(2025,4,5)</f>
        <v>45752</v>
      </c>
      <c r="G249" s="13">
        <v>2023</v>
      </c>
      <c r="H249" s="13">
        <v>1</v>
      </c>
      <c r="I249" s="11" t="s">
        <v>24</v>
      </c>
      <c r="J249" s="15" t="s">
        <v>716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s="14" customFormat="1" ht="12" customHeight="1" x14ac:dyDescent="0.25">
      <c r="A250" s="9">
        <v>248</v>
      </c>
      <c r="B250" s="14" t="s">
        <v>717</v>
      </c>
      <c r="C250" s="14" t="s">
        <v>718</v>
      </c>
      <c r="D250" s="9" t="s">
        <v>31</v>
      </c>
      <c r="E250" s="15" t="str">
        <f>B250</f>
        <v>Caplacizumab</v>
      </c>
      <c r="F250" s="12">
        <f>DATE(2021,6,7)</f>
        <v>44354</v>
      </c>
      <c r="G250" s="13">
        <v>2019</v>
      </c>
      <c r="H250" s="13">
        <v>1</v>
      </c>
      <c r="I250" s="11" t="s">
        <v>230</v>
      </c>
      <c r="J250" s="15" t="s">
        <v>719</v>
      </c>
    </row>
    <row r="251" spans="1:35" s="14" customFormat="1" ht="12" customHeight="1" x14ac:dyDescent="0.25">
      <c r="A251" s="9">
        <v>249</v>
      </c>
      <c r="B251" s="14" t="s">
        <v>720</v>
      </c>
      <c r="C251" s="14" t="s">
        <v>721</v>
      </c>
      <c r="D251" s="9" t="s">
        <v>23</v>
      </c>
      <c r="E251" s="15" t="s">
        <v>720</v>
      </c>
      <c r="F251" s="12">
        <f>DATE(2025,4,15)</f>
        <v>45762</v>
      </c>
      <c r="G251" s="16">
        <v>2020</v>
      </c>
      <c r="H251" s="13">
        <v>1</v>
      </c>
      <c r="I251" s="11" t="s">
        <v>24</v>
      </c>
      <c r="J251" s="15" t="s">
        <v>624</v>
      </c>
    </row>
    <row r="252" spans="1:35" s="14" customFormat="1" ht="12" customHeight="1" x14ac:dyDescent="0.25">
      <c r="A252" s="9">
        <v>250</v>
      </c>
      <c r="B252" s="14" t="s">
        <v>722</v>
      </c>
      <c r="C252" s="14" t="s">
        <v>723</v>
      </c>
      <c r="D252" s="9" t="s">
        <v>31</v>
      </c>
      <c r="E252" s="15" t="str">
        <f>B252</f>
        <v>Capreomycin</v>
      </c>
      <c r="F252" s="12">
        <f>DATE(2021,9,20)</f>
        <v>44459</v>
      </c>
      <c r="G252" s="13" t="s">
        <v>63</v>
      </c>
      <c r="H252" s="13">
        <v>1</v>
      </c>
      <c r="I252" s="11" t="s">
        <v>15</v>
      </c>
      <c r="J252" s="15" t="s">
        <v>241</v>
      </c>
    </row>
    <row r="253" spans="1:35" s="14" customFormat="1" ht="12" customHeight="1" x14ac:dyDescent="0.25">
      <c r="A253" s="9">
        <v>251</v>
      </c>
      <c r="B253" s="14" t="s">
        <v>724</v>
      </c>
      <c r="C253" s="14" t="s">
        <v>725</v>
      </c>
      <c r="D253" s="9" t="s">
        <v>44</v>
      </c>
      <c r="E253" s="15" t="str">
        <f>B253</f>
        <v>Captopril</v>
      </c>
      <c r="F253" s="12">
        <f>DATE(2017,1,15)</f>
        <v>42750</v>
      </c>
      <c r="G253" s="13">
        <v>1981</v>
      </c>
      <c r="H253" s="13">
        <v>1</v>
      </c>
      <c r="I253" s="11" t="s">
        <v>49</v>
      </c>
      <c r="J253" s="15" t="s">
        <v>50</v>
      </c>
    </row>
    <row r="254" spans="1:35" s="14" customFormat="1" ht="12" customHeight="1" x14ac:dyDescent="0.25">
      <c r="A254" s="9">
        <v>252</v>
      </c>
      <c r="B254" s="14" t="s">
        <v>726</v>
      </c>
      <c r="C254" s="14" t="s">
        <v>727</v>
      </c>
      <c r="D254" s="9" t="s">
        <v>31</v>
      </c>
      <c r="E254" s="15"/>
      <c r="F254" s="12"/>
      <c r="G254" s="13" t="s">
        <v>174</v>
      </c>
      <c r="H254" s="13">
        <v>0</v>
      </c>
      <c r="I254" s="11" t="s">
        <v>73</v>
      </c>
      <c r="J254" s="15" t="s">
        <v>85</v>
      </c>
    </row>
    <row r="255" spans="1:35" s="14" customFormat="1" ht="12" customHeight="1" x14ac:dyDescent="0.25">
      <c r="A255" s="9">
        <v>253</v>
      </c>
      <c r="B255" s="14" t="s">
        <v>728</v>
      </c>
      <c r="C255" s="14" t="s">
        <v>729</v>
      </c>
      <c r="D255" s="9" t="s">
        <v>166</v>
      </c>
      <c r="E255" s="15" t="str">
        <f>B255</f>
        <v>Carbamazepine</v>
      </c>
      <c r="F255" s="12">
        <f>DATE(2017,1,15)</f>
        <v>42750</v>
      </c>
      <c r="G255" s="13">
        <v>1968</v>
      </c>
      <c r="H255" s="13">
        <v>1</v>
      </c>
      <c r="I255" s="11" t="s">
        <v>100</v>
      </c>
      <c r="J255" s="15" t="s">
        <v>630</v>
      </c>
    </row>
    <row r="256" spans="1:35" s="14" customFormat="1" ht="12" customHeight="1" x14ac:dyDescent="0.25">
      <c r="A256" s="9">
        <v>254</v>
      </c>
      <c r="B256" s="14" t="s">
        <v>730</v>
      </c>
      <c r="C256" s="14" t="s">
        <v>731</v>
      </c>
      <c r="D256" s="9" t="s">
        <v>36</v>
      </c>
      <c r="E256" s="15" t="s">
        <v>732</v>
      </c>
      <c r="F256" s="12">
        <f>DATE(2020,11,1)</f>
        <v>44136</v>
      </c>
      <c r="G256" s="13">
        <v>1972</v>
      </c>
      <c r="H256" s="13">
        <v>1</v>
      </c>
      <c r="I256" s="11" t="s">
        <v>15</v>
      </c>
      <c r="J256" s="15" t="s">
        <v>225</v>
      </c>
    </row>
    <row r="257" spans="1:35" s="14" customFormat="1" ht="12" customHeight="1" x14ac:dyDescent="0.25">
      <c r="A257" s="9">
        <v>255</v>
      </c>
      <c r="B257" s="14" t="s">
        <v>733</v>
      </c>
      <c r="C257" s="14" t="s">
        <v>734</v>
      </c>
      <c r="D257" s="9" t="s">
        <v>31</v>
      </c>
      <c r="E257" s="15" t="s">
        <v>735</v>
      </c>
      <c r="F257" s="12">
        <f>DATE(2021,10,13)</f>
        <v>44482</v>
      </c>
      <c r="G257" s="13">
        <v>1975</v>
      </c>
      <c r="H257" s="13">
        <v>1</v>
      </c>
      <c r="I257" s="11" t="s">
        <v>100</v>
      </c>
      <c r="J257" s="15" t="s">
        <v>210</v>
      </c>
    </row>
    <row r="258" spans="1:35" s="14" customFormat="1" ht="12" customHeight="1" x14ac:dyDescent="0.25">
      <c r="A258" s="9">
        <v>256</v>
      </c>
      <c r="B258" s="14" t="s">
        <v>736</v>
      </c>
      <c r="C258" s="14" t="s">
        <v>737</v>
      </c>
      <c r="D258" s="9" t="s">
        <v>31</v>
      </c>
      <c r="E258" s="15" t="str">
        <f>B258</f>
        <v>Carbinoxamine</v>
      </c>
      <c r="F258" s="12">
        <f>DATE(2017,1,17)</f>
        <v>42752</v>
      </c>
      <c r="G258" s="13">
        <v>2003</v>
      </c>
      <c r="H258" s="13">
        <v>1</v>
      </c>
      <c r="I258" s="11" t="s">
        <v>73</v>
      </c>
      <c r="J258" s="15" t="s">
        <v>85</v>
      </c>
    </row>
    <row r="259" spans="1:35" s="14" customFormat="1" ht="12" customHeight="1" x14ac:dyDescent="0.25">
      <c r="A259" s="9">
        <v>257</v>
      </c>
      <c r="B259" s="14" t="s">
        <v>738</v>
      </c>
      <c r="C259" s="14" t="s">
        <v>739</v>
      </c>
      <c r="D259" s="9" t="s">
        <v>36</v>
      </c>
      <c r="E259" s="15" t="str">
        <f>B259</f>
        <v>Carboplatin</v>
      </c>
      <c r="F259" s="12">
        <f>DATE(2020,9,15)</f>
        <v>44089</v>
      </c>
      <c r="G259" s="13">
        <v>1989</v>
      </c>
      <c r="H259" s="13">
        <v>1</v>
      </c>
      <c r="I259" s="11" t="s">
        <v>24</v>
      </c>
      <c r="J259" s="15" t="s">
        <v>207</v>
      </c>
    </row>
    <row r="260" spans="1:35" s="14" customFormat="1" ht="12" customHeight="1" x14ac:dyDescent="0.25">
      <c r="A260" s="9">
        <v>258</v>
      </c>
      <c r="B260" s="15" t="s">
        <v>740</v>
      </c>
      <c r="C260" s="15" t="s">
        <v>741</v>
      </c>
      <c r="D260" s="9" t="s">
        <v>14</v>
      </c>
      <c r="E260" s="14" t="s">
        <v>287</v>
      </c>
      <c r="F260" s="12">
        <f>DATE(2025,9,20)</f>
        <v>45920</v>
      </c>
      <c r="G260" s="13" t="s">
        <v>174</v>
      </c>
      <c r="H260" s="13">
        <v>1</v>
      </c>
      <c r="I260" s="11" t="s">
        <v>45</v>
      </c>
      <c r="J260" s="13" t="s">
        <v>288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</row>
    <row r="261" spans="1:35" s="14" customFormat="1" ht="12" customHeight="1" x14ac:dyDescent="0.25">
      <c r="A261" s="9">
        <v>259</v>
      </c>
      <c r="B261" s="14" t="s">
        <v>742</v>
      </c>
      <c r="C261" s="14" t="s">
        <v>743</v>
      </c>
      <c r="D261" s="9" t="s">
        <v>36</v>
      </c>
      <c r="E261" s="15" t="str">
        <f t="shared" ref="E261:E266" si="4">B261</f>
        <v>Carfilzomib</v>
      </c>
      <c r="F261" s="12">
        <f>DATE(2017,1,18)</f>
        <v>42753</v>
      </c>
      <c r="G261" s="13">
        <v>2012</v>
      </c>
      <c r="H261" s="13">
        <v>1</v>
      </c>
      <c r="I261" s="11" t="s">
        <v>24</v>
      </c>
      <c r="J261" s="15" t="s">
        <v>601</v>
      </c>
    </row>
    <row r="262" spans="1:35" s="14" customFormat="1" ht="12" customHeight="1" x14ac:dyDescent="0.25">
      <c r="A262" s="9">
        <v>260</v>
      </c>
      <c r="B262" s="14" t="s">
        <v>744</v>
      </c>
      <c r="C262" s="14" t="s">
        <v>745</v>
      </c>
      <c r="D262" s="27" t="s">
        <v>31</v>
      </c>
      <c r="E262" s="15" t="str">
        <f t="shared" si="4"/>
        <v>Carglumic acid</v>
      </c>
      <c r="F262" s="12">
        <f>DATE(2016,10,27)</f>
        <v>42670</v>
      </c>
      <c r="G262" s="13">
        <v>2010</v>
      </c>
      <c r="H262" s="13">
        <v>1</v>
      </c>
      <c r="I262" s="11" t="s">
        <v>104</v>
      </c>
      <c r="J262" s="15" t="s">
        <v>746</v>
      </c>
    </row>
    <row r="263" spans="1:35" s="14" customFormat="1" ht="12" customHeight="1" x14ac:dyDescent="0.25">
      <c r="A263" s="9">
        <v>261</v>
      </c>
      <c r="B263" s="14" t="s">
        <v>747</v>
      </c>
      <c r="C263" s="14" t="s">
        <v>748</v>
      </c>
      <c r="D263" s="9" t="s">
        <v>23</v>
      </c>
      <c r="E263" s="15" t="str">
        <f t="shared" si="4"/>
        <v>Cariprazine</v>
      </c>
      <c r="F263" s="12">
        <f>DATE(2023,6,5)</f>
        <v>45082</v>
      </c>
      <c r="G263" s="13">
        <v>2015</v>
      </c>
      <c r="H263" s="13">
        <v>1</v>
      </c>
      <c r="I263" s="11" t="s">
        <v>100</v>
      </c>
      <c r="J263" s="15" t="s">
        <v>328</v>
      </c>
    </row>
    <row r="264" spans="1:35" s="14" customFormat="1" ht="12" customHeight="1" x14ac:dyDescent="0.25">
      <c r="A264" s="9">
        <v>262</v>
      </c>
      <c r="B264" s="14" t="s">
        <v>749</v>
      </c>
      <c r="C264" s="14" t="s">
        <v>750</v>
      </c>
      <c r="D264" s="9" t="s">
        <v>31</v>
      </c>
      <c r="E264" s="15" t="str">
        <f t="shared" si="4"/>
        <v>Carisoprodol</v>
      </c>
      <c r="F264" s="12">
        <f>DATE(2017,1,30)</f>
        <v>42765</v>
      </c>
      <c r="G264" s="13">
        <v>1959</v>
      </c>
      <c r="H264" s="13">
        <v>1</v>
      </c>
      <c r="I264" s="11" t="s">
        <v>100</v>
      </c>
      <c r="J264" s="15" t="s">
        <v>451</v>
      </c>
    </row>
    <row r="265" spans="1:35" s="14" customFormat="1" ht="12" customHeight="1" x14ac:dyDescent="0.25">
      <c r="A265" s="9">
        <v>263</v>
      </c>
      <c r="B265" s="14" t="s">
        <v>751</v>
      </c>
      <c r="C265" s="14" t="s">
        <v>752</v>
      </c>
      <c r="D265" s="9" t="s">
        <v>23</v>
      </c>
      <c r="E265" s="15" t="str">
        <f t="shared" si="4"/>
        <v>Carmustine</v>
      </c>
      <c r="F265" s="12">
        <f>DATE(2017,1,18)</f>
        <v>42753</v>
      </c>
      <c r="G265" s="13">
        <v>1977</v>
      </c>
      <c r="H265" s="13">
        <v>1</v>
      </c>
      <c r="I265" s="11" t="s">
        <v>24</v>
      </c>
      <c r="J265" s="15" t="s">
        <v>132</v>
      </c>
    </row>
    <row r="266" spans="1:35" s="14" customFormat="1" ht="12" customHeight="1" x14ac:dyDescent="0.25">
      <c r="A266" s="9">
        <v>264</v>
      </c>
      <c r="B266" s="14" t="s">
        <v>753</v>
      </c>
      <c r="C266" s="14" t="s">
        <v>754</v>
      </c>
      <c r="D266" s="9" t="s">
        <v>36</v>
      </c>
      <c r="E266" s="15" t="str">
        <f t="shared" si="4"/>
        <v>Carvedilol</v>
      </c>
      <c r="F266" s="12">
        <f>DATE(2019,5,3)</f>
        <v>43588</v>
      </c>
      <c r="G266" s="13">
        <v>1995</v>
      </c>
      <c r="H266" s="13">
        <v>1</v>
      </c>
      <c r="I266" s="11" t="s">
        <v>49</v>
      </c>
      <c r="J266" s="15" t="s">
        <v>50</v>
      </c>
    </row>
    <row r="267" spans="1:35" s="14" customFormat="1" ht="12" customHeight="1" x14ac:dyDescent="0.25">
      <c r="A267" s="9">
        <v>265</v>
      </c>
      <c r="B267" s="14" t="s">
        <v>755</v>
      </c>
      <c r="C267" s="14" t="s">
        <v>188</v>
      </c>
      <c r="D267" s="9" t="s">
        <v>77</v>
      </c>
      <c r="E267" s="15"/>
      <c r="F267" s="12"/>
      <c r="G267" s="13" t="s">
        <v>174</v>
      </c>
      <c r="H267" s="13">
        <v>1</v>
      </c>
      <c r="I267" s="11" t="s">
        <v>182</v>
      </c>
      <c r="J267" s="15" t="s">
        <v>176</v>
      </c>
    </row>
    <row r="268" spans="1:35" s="14" customFormat="1" ht="12" customHeight="1" x14ac:dyDescent="0.25">
      <c r="A268" s="9">
        <v>266</v>
      </c>
      <c r="B268" s="14" t="s">
        <v>756</v>
      </c>
      <c r="C268" s="14" t="s">
        <v>757</v>
      </c>
      <c r="D268" s="9" t="s">
        <v>36</v>
      </c>
      <c r="E268" s="15" t="str">
        <f>B268</f>
        <v xml:space="preserve">Cascara </v>
      </c>
      <c r="F268" s="12">
        <f>DATE(2017,1,23)</f>
        <v>42758</v>
      </c>
      <c r="G268" s="13" t="s">
        <v>174</v>
      </c>
      <c r="H268" s="13">
        <v>1</v>
      </c>
      <c r="I268" s="11" t="s">
        <v>175</v>
      </c>
      <c r="J268" s="15" t="s">
        <v>176</v>
      </c>
    </row>
    <row r="269" spans="1:35" s="14" customFormat="1" ht="12" customHeight="1" x14ac:dyDescent="0.25">
      <c r="A269" s="9">
        <v>267</v>
      </c>
      <c r="B269" s="14" t="s">
        <v>758</v>
      </c>
      <c r="C269" s="14" t="s">
        <v>759</v>
      </c>
      <c r="D269" s="9" t="s">
        <v>31</v>
      </c>
      <c r="E269" s="15" t="s">
        <v>758</v>
      </c>
      <c r="F269" s="12">
        <f>DATE(2022,12,1)</f>
        <v>44896</v>
      </c>
      <c r="G269" s="16">
        <v>2021</v>
      </c>
      <c r="H269" s="13">
        <v>1</v>
      </c>
      <c r="I269" s="11" t="s">
        <v>104</v>
      </c>
      <c r="J269" s="15" t="s">
        <v>760</v>
      </c>
    </row>
    <row r="270" spans="1:35" s="14" customFormat="1" ht="12" customHeight="1" x14ac:dyDescent="0.25">
      <c r="A270" s="9">
        <v>268</v>
      </c>
      <c r="B270" s="14" t="s">
        <v>761</v>
      </c>
      <c r="C270" s="14" t="s">
        <v>762</v>
      </c>
      <c r="D270" s="9" t="s">
        <v>31</v>
      </c>
      <c r="E270" s="15" t="s">
        <v>464</v>
      </c>
      <c r="F270" s="12">
        <v>44592</v>
      </c>
      <c r="G270" s="16">
        <v>2021</v>
      </c>
      <c r="H270" s="13">
        <v>1</v>
      </c>
      <c r="I270" s="29" t="s">
        <v>15</v>
      </c>
      <c r="J270" s="26" t="s">
        <v>465</v>
      </c>
    </row>
    <row r="271" spans="1:35" s="14" customFormat="1" ht="12" customHeight="1" x14ac:dyDescent="0.25">
      <c r="A271" s="9">
        <v>269</v>
      </c>
      <c r="B271" s="14" t="s">
        <v>763</v>
      </c>
      <c r="C271" s="14" t="s">
        <v>764</v>
      </c>
      <c r="D271" s="9" t="s">
        <v>36</v>
      </c>
      <c r="E271" s="15" t="s">
        <v>297</v>
      </c>
      <c r="F271" s="12">
        <f>DATE(2017,7,1)</f>
        <v>42917</v>
      </c>
      <c r="G271" s="13">
        <v>2001</v>
      </c>
      <c r="H271" s="13">
        <v>1</v>
      </c>
      <c r="I271" s="11" t="s">
        <v>15</v>
      </c>
      <c r="J271" s="15" t="s">
        <v>271</v>
      </c>
    </row>
    <row r="272" spans="1:35" s="14" customFormat="1" ht="12" customHeight="1" x14ac:dyDescent="0.25">
      <c r="A272" s="9">
        <v>270</v>
      </c>
      <c r="B272" s="14" t="s">
        <v>765</v>
      </c>
      <c r="C272" s="14" t="s">
        <v>766</v>
      </c>
      <c r="D272" s="9" t="s">
        <v>31</v>
      </c>
      <c r="E272" s="15" t="s">
        <v>767</v>
      </c>
      <c r="F272" s="12"/>
      <c r="G272" s="13" t="s">
        <v>174</v>
      </c>
      <c r="H272" s="13">
        <v>0</v>
      </c>
      <c r="I272" s="11" t="s">
        <v>190</v>
      </c>
      <c r="J272" s="15" t="s">
        <v>176</v>
      </c>
    </row>
    <row r="273" spans="1:35" s="14" customFormat="1" ht="12" customHeight="1" x14ac:dyDescent="0.25">
      <c r="A273" s="9">
        <v>271</v>
      </c>
      <c r="B273" s="14" t="s">
        <v>768</v>
      </c>
      <c r="C273" s="14" t="s">
        <v>188</v>
      </c>
      <c r="D273" s="9" t="s">
        <v>31</v>
      </c>
      <c r="E273" s="15" t="str">
        <f>B273</f>
        <v>Cat's Claw</v>
      </c>
      <c r="F273" s="12">
        <f>DATE(2019,2,21)</f>
        <v>43517</v>
      </c>
      <c r="G273" s="13" t="s">
        <v>174</v>
      </c>
      <c r="H273" s="13">
        <v>1</v>
      </c>
      <c r="I273" s="11" t="s">
        <v>175</v>
      </c>
      <c r="J273" s="15" t="s">
        <v>769</v>
      </c>
    </row>
    <row r="274" spans="1:35" s="14" customFormat="1" ht="12" customHeight="1" x14ac:dyDescent="0.25">
      <c r="A274" s="9">
        <v>272</v>
      </c>
      <c r="B274" s="15" t="s">
        <v>770</v>
      </c>
      <c r="C274" s="15" t="s">
        <v>710</v>
      </c>
      <c r="D274" s="9" t="s">
        <v>131</v>
      </c>
      <c r="E274" s="15" t="s">
        <v>710</v>
      </c>
      <c r="F274" s="22">
        <f>DATE(2023,2,16)</f>
        <v>44973</v>
      </c>
      <c r="G274" s="13" t="s">
        <v>174</v>
      </c>
      <c r="H274" s="13">
        <v>1</v>
      </c>
      <c r="I274" s="11" t="s">
        <v>175</v>
      </c>
      <c r="J274" s="15" t="s">
        <v>771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s="14" customFormat="1" ht="12" customHeight="1" x14ac:dyDescent="0.25">
      <c r="A275" s="9">
        <v>273</v>
      </c>
      <c r="B275" s="14" t="s">
        <v>772</v>
      </c>
      <c r="C275" s="14" t="s">
        <v>773</v>
      </c>
      <c r="D275" s="9" t="s">
        <v>23</v>
      </c>
      <c r="E275" s="15" t="s">
        <v>772</v>
      </c>
      <c r="F275" s="12">
        <f>DATE(2023,7,27)</f>
        <v>45134</v>
      </c>
      <c r="G275" s="16">
        <v>2020</v>
      </c>
      <c r="H275" s="13">
        <v>1</v>
      </c>
      <c r="I275" s="11" t="s">
        <v>24</v>
      </c>
      <c r="J275" s="15" t="s">
        <v>774</v>
      </c>
    </row>
    <row r="276" spans="1:35" s="14" customFormat="1" ht="12" customHeight="1" x14ac:dyDescent="0.25">
      <c r="A276" s="9">
        <v>274</v>
      </c>
      <c r="B276" s="14" t="s">
        <v>775</v>
      </c>
      <c r="C276" s="14" t="s">
        <v>776</v>
      </c>
      <c r="D276" s="9" t="s">
        <v>14</v>
      </c>
      <c r="E276" s="15" t="s">
        <v>777</v>
      </c>
      <c r="F276" s="12">
        <f>DATE(2021,12,20)</f>
        <v>44550</v>
      </c>
      <c r="G276" s="13">
        <v>1979</v>
      </c>
      <c r="H276" s="13">
        <v>1</v>
      </c>
      <c r="I276" s="11" t="s">
        <v>15</v>
      </c>
      <c r="J276" s="15" t="s">
        <v>225</v>
      </c>
    </row>
    <row r="277" spans="1:35" s="14" customFormat="1" ht="12" customHeight="1" x14ac:dyDescent="0.25">
      <c r="A277" s="9">
        <v>275</v>
      </c>
      <c r="B277" s="14" t="s">
        <v>778</v>
      </c>
      <c r="C277" s="14" t="s">
        <v>779</v>
      </c>
      <c r="D277" s="9" t="s">
        <v>36</v>
      </c>
      <c r="E277" s="15" t="s">
        <v>777</v>
      </c>
      <c r="F277" s="12">
        <f>DATE(2021,12,20)</f>
        <v>44550</v>
      </c>
      <c r="G277" s="13">
        <v>1978</v>
      </c>
      <c r="H277" s="13">
        <v>1</v>
      </c>
      <c r="I277" s="11" t="s">
        <v>15</v>
      </c>
      <c r="J277" s="15" t="s">
        <v>225</v>
      </c>
    </row>
    <row r="278" spans="1:35" s="14" customFormat="1" ht="12" customHeight="1" x14ac:dyDescent="0.25">
      <c r="A278" s="9">
        <v>276</v>
      </c>
      <c r="B278" s="14" t="s">
        <v>780</v>
      </c>
      <c r="C278" s="14" t="s">
        <v>781</v>
      </c>
      <c r="D278" s="9" t="s">
        <v>44</v>
      </c>
      <c r="E278" s="15" t="s">
        <v>782</v>
      </c>
      <c r="F278" s="12">
        <f>DATE(2024,5,9)</f>
        <v>45421</v>
      </c>
      <c r="G278" s="13">
        <v>1973</v>
      </c>
      <c r="H278" s="13">
        <v>1</v>
      </c>
      <c r="I278" s="11" t="s">
        <v>15</v>
      </c>
      <c r="J278" s="15" t="s">
        <v>225</v>
      </c>
    </row>
    <row r="279" spans="1:35" s="14" customFormat="1" ht="12" customHeight="1" x14ac:dyDescent="0.25">
      <c r="A279" s="9">
        <v>277</v>
      </c>
      <c r="B279" s="14" t="s">
        <v>783</v>
      </c>
      <c r="C279" s="14" t="s">
        <v>784</v>
      </c>
      <c r="D279" s="9" t="s">
        <v>36</v>
      </c>
      <c r="E279" s="15" t="s">
        <v>777</v>
      </c>
      <c r="F279" s="12">
        <f>DATE(2021,12,20)</f>
        <v>44550</v>
      </c>
      <c r="G279" s="13">
        <v>1997</v>
      </c>
      <c r="H279" s="13">
        <v>1</v>
      </c>
      <c r="I279" s="11" t="s">
        <v>15</v>
      </c>
      <c r="J279" s="15" t="s">
        <v>225</v>
      </c>
    </row>
    <row r="280" spans="1:35" s="14" customFormat="1" ht="12" customHeight="1" x14ac:dyDescent="0.25">
      <c r="A280" s="9">
        <v>278</v>
      </c>
      <c r="B280" s="14" t="s">
        <v>785</v>
      </c>
      <c r="C280" s="14" t="s">
        <v>786</v>
      </c>
      <c r="D280" s="9" t="s">
        <v>23</v>
      </c>
      <c r="E280" s="15" t="s">
        <v>777</v>
      </c>
      <c r="F280" s="12">
        <f>DATE(2021,12,20)</f>
        <v>44550</v>
      </c>
      <c r="G280" s="13">
        <v>2001</v>
      </c>
      <c r="H280" s="13">
        <v>1</v>
      </c>
      <c r="I280" s="11" t="s">
        <v>15</v>
      </c>
      <c r="J280" s="15" t="s">
        <v>225</v>
      </c>
    </row>
    <row r="281" spans="1:35" s="14" customFormat="1" ht="12" customHeight="1" x14ac:dyDescent="0.25">
      <c r="A281" s="9">
        <v>279</v>
      </c>
      <c r="B281" s="14" t="s">
        <v>787</v>
      </c>
      <c r="C281" s="14" t="s">
        <v>788</v>
      </c>
      <c r="D281" s="9" t="s">
        <v>36</v>
      </c>
      <c r="E281" s="15" t="s">
        <v>782</v>
      </c>
      <c r="F281" s="12">
        <f>DATE(2024,5,9)</f>
        <v>45421</v>
      </c>
      <c r="G281" s="13">
        <v>1996</v>
      </c>
      <c r="H281" s="13">
        <v>1</v>
      </c>
      <c r="I281" s="11" t="s">
        <v>15</v>
      </c>
      <c r="J281" s="15" t="s">
        <v>225</v>
      </c>
    </row>
    <row r="282" spans="1:35" s="14" customFormat="1" ht="12" customHeight="1" x14ac:dyDescent="0.25">
      <c r="A282" s="9">
        <v>280</v>
      </c>
      <c r="B282" s="14" t="s">
        <v>789</v>
      </c>
      <c r="C282" s="14" t="s">
        <v>790</v>
      </c>
      <c r="D282" s="9" t="s">
        <v>23</v>
      </c>
      <c r="E282" s="15" t="s">
        <v>782</v>
      </c>
      <c r="F282" s="12">
        <f>DATE(2024,5,9)</f>
        <v>45421</v>
      </c>
      <c r="G282" s="13">
        <v>2019</v>
      </c>
      <c r="H282" s="13">
        <v>1</v>
      </c>
      <c r="I282" s="11" t="s">
        <v>791</v>
      </c>
      <c r="J282" s="15" t="s">
        <v>225</v>
      </c>
    </row>
    <row r="283" spans="1:35" s="14" customFormat="1" ht="12" customHeight="1" x14ac:dyDescent="0.25">
      <c r="A283" s="9">
        <v>281</v>
      </c>
      <c r="B283" s="14" t="s">
        <v>792</v>
      </c>
      <c r="C283" s="14" t="s">
        <v>793</v>
      </c>
      <c r="D283" s="9" t="s">
        <v>14</v>
      </c>
      <c r="E283" s="15" t="s">
        <v>777</v>
      </c>
      <c r="F283" s="12">
        <f>DATE(2021,12,20)</f>
        <v>44550</v>
      </c>
      <c r="G283" s="13">
        <v>1989</v>
      </c>
      <c r="H283" s="13">
        <v>1</v>
      </c>
      <c r="I283" s="11" t="s">
        <v>15</v>
      </c>
      <c r="J283" s="15" t="s">
        <v>225</v>
      </c>
    </row>
    <row r="284" spans="1:35" s="14" customFormat="1" ht="12" customHeight="1" x14ac:dyDescent="0.25">
      <c r="A284" s="9">
        <v>282</v>
      </c>
      <c r="B284" s="14" t="s">
        <v>794</v>
      </c>
      <c r="C284" s="14" t="s">
        <v>795</v>
      </c>
      <c r="D284" s="9" t="s">
        <v>36</v>
      </c>
      <c r="E284" s="15" t="s">
        <v>782</v>
      </c>
      <c r="F284" s="12">
        <f>DATE(2024,5,9)</f>
        <v>45421</v>
      </c>
      <c r="G284" s="13">
        <v>1982</v>
      </c>
      <c r="H284" s="13">
        <v>1</v>
      </c>
      <c r="I284" s="11" t="s">
        <v>15</v>
      </c>
      <c r="J284" s="15" t="s">
        <v>225</v>
      </c>
    </row>
    <row r="285" spans="1:35" s="14" customFormat="1" ht="12" customHeight="1" x14ac:dyDescent="0.25">
      <c r="A285" s="9">
        <v>283</v>
      </c>
      <c r="B285" s="14" t="s">
        <v>796</v>
      </c>
      <c r="C285" s="14" t="s">
        <v>797</v>
      </c>
      <c r="D285" s="9" t="s">
        <v>36</v>
      </c>
      <c r="E285" s="15" t="s">
        <v>782</v>
      </c>
      <c r="F285" s="12">
        <f>DATE(2024,5,9)</f>
        <v>45421</v>
      </c>
      <c r="G285" s="13">
        <v>1981</v>
      </c>
      <c r="H285" s="13">
        <v>1</v>
      </c>
      <c r="I285" s="11" t="s">
        <v>15</v>
      </c>
      <c r="J285" s="15" t="s">
        <v>225</v>
      </c>
    </row>
    <row r="286" spans="1:35" s="14" customFormat="1" ht="12" customHeight="1" x14ac:dyDescent="0.25">
      <c r="A286" s="9">
        <v>284</v>
      </c>
      <c r="B286" s="14" t="s">
        <v>798</v>
      </c>
      <c r="C286" s="14" t="s">
        <v>799</v>
      </c>
      <c r="D286" s="9" t="s">
        <v>23</v>
      </c>
      <c r="E286" s="15" t="s">
        <v>782</v>
      </c>
      <c r="F286" s="12">
        <f>DATE(2024,5,9)</f>
        <v>45421</v>
      </c>
      <c r="G286" s="13">
        <v>1978</v>
      </c>
      <c r="H286" s="13">
        <v>1</v>
      </c>
      <c r="I286" s="11" t="s">
        <v>15</v>
      </c>
      <c r="J286" s="15" t="s">
        <v>225</v>
      </c>
    </row>
    <row r="287" spans="1:35" s="14" customFormat="1" ht="12" customHeight="1" x14ac:dyDescent="0.25">
      <c r="A287" s="9">
        <v>285</v>
      </c>
      <c r="B287" s="14" t="s">
        <v>800</v>
      </c>
      <c r="C287" s="14" t="s">
        <v>801</v>
      </c>
      <c r="D287" s="9" t="s">
        <v>36</v>
      </c>
      <c r="E287" s="15" t="s">
        <v>777</v>
      </c>
      <c r="F287" s="12">
        <f>DATE(2021,12,20)</f>
        <v>44550</v>
      </c>
      <c r="G287" s="13">
        <v>1992</v>
      </c>
      <c r="H287" s="13">
        <v>1</v>
      </c>
      <c r="I287" s="11" t="s">
        <v>15</v>
      </c>
      <c r="J287" s="15" t="s">
        <v>225</v>
      </c>
    </row>
    <row r="288" spans="1:35" s="14" customFormat="1" ht="12" customHeight="1" x14ac:dyDescent="0.25">
      <c r="A288" s="9">
        <v>286</v>
      </c>
      <c r="B288" s="14" t="s">
        <v>802</v>
      </c>
      <c r="C288" s="14" t="s">
        <v>803</v>
      </c>
      <c r="D288" s="9" t="s">
        <v>36</v>
      </c>
      <c r="E288" s="15" t="s">
        <v>777</v>
      </c>
      <c r="F288" s="12">
        <f>DATE(2021,12,20)</f>
        <v>44550</v>
      </c>
      <c r="G288" s="13">
        <v>1991</v>
      </c>
      <c r="H288" s="13">
        <v>1</v>
      </c>
      <c r="I288" s="11" t="s">
        <v>15</v>
      </c>
      <c r="J288" s="15" t="s">
        <v>225</v>
      </c>
    </row>
    <row r="289" spans="1:35" s="14" customFormat="1" ht="12" customHeight="1" x14ac:dyDescent="0.25">
      <c r="A289" s="9">
        <v>287</v>
      </c>
      <c r="B289" s="14" t="s">
        <v>804</v>
      </c>
      <c r="C289" s="14" t="s">
        <v>805</v>
      </c>
      <c r="D289" s="9" t="s">
        <v>23</v>
      </c>
      <c r="E289" s="15" t="s">
        <v>782</v>
      </c>
      <c r="F289" s="12">
        <f>DATE(2024,5,9)</f>
        <v>45421</v>
      </c>
      <c r="G289" s="13">
        <v>2010</v>
      </c>
      <c r="H289" s="13">
        <v>1</v>
      </c>
      <c r="I289" s="11" t="s">
        <v>15</v>
      </c>
      <c r="J289" s="15" t="s">
        <v>225</v>
      </c>
    </row>
    <row r="290" spans="1:35" s="14" customFormat="1" ht="12" customHeight="1" x14ac:dyDescent="0.25">
      <c r="A290" s="9">
        <v>288</v>
      </c>
      <c r="B290" s="14" t="s">
        <v>806</v>
      </c>
      <c r="C290" s="14" t="s">
        <v>807</v>
      </c>
      <c r="D290" s="9" t="s">
        <v>36</v>
      </c>
      <c r="E290" s="15" t="s">
        <v>782</v>
      </c>
      <c r="F290" s="12">
        <f>DATE(2024,5,9)</f>
        <v>45421</v>
      </c>
      <c r="G290" s="13">
        <v>1985</v>
      </c>
      <c r="H290" s="13">
        <v>1</v>
      </c>
      <c r="I290" s="11" t="s">
        <v>15</v>
      </c>
      <c r="J290" s="15" t="s">
        <v>225</v>
      </c>
    </row>
    <row r="291" spans="1:35" s="14" customFormat="1" ht="12" customHeight="1" x14ac:dyDescent="0.25">
      <c r="A291" s="9">
        <v>289</v>
      </c>
      <c r="B291" s="14" t="s">
        <v>808</v>
      </c>
      <c r="C291" s="14" t="s">
        <v>809</v>
      </c>
      <c r="D291" s="9" t="s">
        <v>77</v>
      </c>
      <c r="E291" s="14" t="s">
        <v>808</v>
      </c>
      <c r="F291" s="12"/>
      <c r="G291" s="13">
        <v>2024</v>
      </c>
      <c r="H291" s="13">
        <v>0</v>
      </c>
      <c r="I291" s="10" t="s">
        <v>15</v>
      </c>
      <c r="J291" s="14" t="s">
        <v>810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s="14" customFormat="1" ht="12" customHeight="1" x14ac:dyDescent="0.25">
      <c r="A292" s="9">
        <v>290</v>
      </c>
      <c r="B292" s="14" t="s">
        <v>811</v>
      </c>
      <c r="C292" s="14" t="s">
        <v>812</v>
      </c>
      <c r="D292" s="9" t="s">
        <v>36</v>
      </c>
      <c r="E292" s="15" t="s">
        <v>777</v>
      </c>
      <c r="F292" s="12">
        <f>DATE(2021,12,20)</f>
        <v>44550</v>
      </c>
      <c r="G292" s="13">
        <v>1995</v>
      </c>
      <c r="H292" s="13">
        <v>1</v>
      </c>
      <c r="I292" s="11" t="s">
        <v>15</v>
      </c>
      <c r="J292" s="15" t="s">
        <v>225</v>
      </c>
    </row>
    <row r="293" spans="1:35" s="14" customFormat="1" ht="12" customHeight="1" x14ac:dyDescent="0.25">
      <c r="A293" s="9">
        <v>291</v>
      </c>
      <c r="B293" s="14" t="s">
        <v>813</v>
      </c>
      <c r="C293" s="14" t="s">
        <v>814</v>
      </c>
      <c r="D293" s="9" t="s">
        <v>23</v>
      </c>
      <c r="E293" s="15" t="s">
        <v>782</v>
      </c>
      <c r="F293" s="12">
        <f>DATE(2024,5,9)</f>
        <v>45421</v>
      </c>
      <c r="G293" s="13">
        <v>1983</v>
      </c>
      <c r="H293" s="13">
        <v>1</v>
      </c>
      <c r="I293" s="11" t="s">
        <v>15</v>
      </c>
      <c r="J293" s="15" t="s">
        <v>225</v>
      </c>
    </row>
    <row r="294" spans="1:35" s="14" customFormat="1" ht="12" customHeight="1" x14ac:dyDescent="0.25">
      <c r="A294" s="9">
        <v>292</v>
      </c>
      <c r="B294" s="14" t="s">
        <v>815</v>
      </c>
      <c r="C294" s="14" t="s">
        <v>816</v>
      </c>
      <c r="D294" s="27" t="s">
        <v>23</v>
      </c>
      <c r="E294" s="15" t="s">
        <v>782</v>
      </c>
      <c r="F294" s="12">
        <f>DATE(2024,5,9)</f>
        <v>45421</v>
      </c>
      <c r="G294" s="13">
        <v>2014</v>
      </c>
      <c r="H294" s="13">
        <v>1</v>
      </c>
      <c r="I294" s="11" t="s">
        <v>15</v>
      </c>
      <c r="J294" s="15" t="s">
        <v>225</v>
      </c>
    </row>
    <row r="295" spans="1:35" s="14" customFormat="1" ht="12" customHeight="1" x14ac:dyDescent="0.25">
      <c r="A295" s="9">
        <v>293</v>
      </c>
      <c r="B295" s="14" t="s">
        <v>817</v>
      </c>
      <c r="C295" s="14" t="s">
        <v>818</v>
      </c>
      <c r="D295" s="9" t="s">
        <v>44</v>
      </c>
      <c r="E295" s="15" t="s">
        <v>782</v>
      </c>
      <c r="F295" s="12">
        <f>DATE(2024,5,9)</f>
        <v>45421</v>
      </c>
      <c r="G295" s="13">
        <v>1984</v>
      </c>
      <c r="H295" s="13">
        <v>1</v>
      </c>
      <c r="I295" s="11" t="s">
        <v>15</v>
      </c>
      <c r="J295" s="15" t="s">
        <v>225</v>
      </c>
    </row>
    <row r="296" spans="1:35" s="14" customFormat="1" ht="12" customHeight="1" x14ac:dyDescent="0.25">
      <c r="A296" s="9">
        <v>294</v>
      </c>
      <c r="B296" s="14" t="s">
        <v>819</v>
      </c>
      <c r="C296" s="14" t="s">
        <v>820</v>
      </c>
      <c r="D296" s="9" t="s">
        <v>14</v>
      </c>
      <c r="E296" s="15" t="s">
        <v>821</v>
      </c>
      <c r="F296" s="12">
        <f>DATE(2021,12,20)</f>
        <v>44550</v>
      </c>
      <c r="G296" s="13">
        <v>1983</v>
      </c>
      <c r="H296" s="13">
        <v>1</v>
      </c>
      <c r="I296" s="11" t="s">
        <v>15</v>
      </c>
      <c r="J296" s="15" t="s">
        <v>225</v>
      </c>
    </row>
    <row r="297" spans="1:35" s="14" customFormat="1" ht="12" customHeight="1" x14ac:dyDescent="0.25">
      <c r="A297" s="9">
        <v>295</v>
      </c>
      <c r="B297" s="14" t="s">
        <v>822</v>
      </c>
      <c r="C297" s="14" t="s">
        <v>188</v>
      </c>
      <c r="D297" s="9" t="s">
        <v>44</v>
      </c>
      <c r="E297" s="15" t="str">
        <f>B297</f>
        <v>Celandine</v>
      </c>
      <c r="F297" s="12">
        <f>DATE(2022,5,24)</f>
        <v>44705</v>
      </c>
      <c r="G297" s="13" t="s">
        <v>174</v>
      </c>
      <c r="H297" s="13">
        <v>1</v>
      </c>
      <c r="I297" s="11" t="s">
        <v>175</v>
      </c>
      <c r="J297" s="15" t="s">
        <v>823</v>
      </c>
    </row>
    <row r="298" spans="1:35" s="14" customFormat="1" ht="12" customHeight="1" x14ac:dyDescent="0.25">
      <c r="A298" s="9">
        <v>296</v>
      </c>
      <c r="B298" s="14" t="s">
        <v>824</v>
      </c>
      <c r="C298" s="14" t="s">
        <v>825</v>
      </c>
      <c r="D298" s="9" t="s">
        <v>44</v>
      </c>
      <c r="E298" s="15" t="str">
        <f>B298</f>
        <v>Celecoxib</v>
      </c>
      <c r="F298" s="12">
        <f>DATE(2025,7,25)</f>
        <v>45863</v>
      </c>
      <c r="G298" s="13">
        <v>1998</v>
      </c>
      <c r="H298" s="13">
        <v>1</v>
      </c>
      <c r="I298" s="11" t="s">
        <v>54</v>
      </c>
      <c r="J298" s="15" t="s">
        <v>826</v>
      </c>
    </row>
    <row r="299" spans="1:35" s="14" customFormat="1" ht="12" customHeight="1" x14ac:dyDescent="0.3">
      <c r="A299" s="9">
        <v>297</v>
      </c>
      <c r="B299" s="14" t="s">
        <v>827</v>
      </c>
      <c r="C299" s="23" t="s">
        <v>828</v>
      </c>
      <c r="D299" s="9" t="s">
        <v>14</v>
      </c>
      <c r="E299" s="15" t="str">
        <f>B299</f>
        <v>Cemiplimab</v>
      </c>
      <c r="F299" s="12">
        <f>DATE(2022,6,23)</f>
        <v>44735</v>
      </c>
      <c r="G299" s="13">
        <v>2018</v>
      </c>
      <c r="H299" s="13">
        <v>1</v>
      </c>
      <c r="I299" s="11" t="s">
        <v>24</v>
      </c>
      <c r="J299" s="15" t="s">
        <v>829</v>
      </c>
    </row>
    <row r="300" spans="1:35" s="14" customFormat="1" ht="12" customHeight="1" x14ac:dyDescent="0.25">
      <c r="A300" s="9">
        <v>298</v>
      </c>
      <c r="B300" s="14" t="s">
        <v>830</v>
      </c>
      <c r="C300" s="14" t="s">
        <v>831</v>
      </c>
      <c r="D300" s="9" t="s">
        <v>36</v>
      </c>
      <c r="E300" s="15" t="str">
        <f>B300</f>
        <v>Cenobamate</v>
      </c>
      <c r="F300" s="12">
        <f>DATE(2021,8,18)</f>
        <v>44426</v>
      </c>
      <c r="G300" s="13">
        <v>2019</v>
      </c>
      <c r="H300" s="13">
        <v>1</v>
      </c>
      <c r="I300" s="11" t="s">
        <v>100</v>
      </c>
      <c r="J300" s="15" t="s">
        <v>832</v>
      </c>
    </row>
    <row r="301" spans="1:35" s="14" customFormat="1" ht="12" customHeight="1" x14ac:dyDescent="0.3">
      <c r="A301" s="9">
        <v>299</v>
      </c>
      <c r="B301" s="15" t="s">
        <v>833</v>
      </c>
      <c r="C301" s="23" t="s">
        <v>834</v>
      </c>
      <c r="D301" s="9" t="s">
        <v>14</v>
      </c>
      <c r="E301" s="15" t="s">
        <v>833</v>
      </c>
      <c r="F301" s="12">
        <f>DATE(2024,4,22)</f>
        <v>45404</v>
      </c>
      <c r="G301" s="13" t="s">
        <v>174</v>
      </c>
      <c r="H301" s="13">
        <v>1</v>
      </c>
      <c r="I301" s="11" t="s">
        <v>175</v>
      </c>
      <c r="J301" s="15" t="s">
        <v>454</v>
      </c>
      <c r="K301" s="13"/>
    </row>
    <row r="302" spans="1:35" s="14" customFormat="1" ht="12" customHeight="1" x14ac:dyDescent="0.25">
      <c r="A302" s="9">
        <v>300</v>
      </c>
      <c r="B302" s="14" t="s">
        <v>835</v>
      </c>
      <c r="C302" s="14" t="s">
        <v>836</v>
      </c>
      <c r="D302" s="9" t="s">
        <v>44</v>
      </c>
      <c r="E302" s="15" t="s">
        <v>777</v>
      </c>
      <c r="F302" s="12">
        <f>DATE(2021,12,20)</f>
        <v>44550</v>
      </c>
      <c r="G302" s="13">
        <v>1971</v>
      </c>
      <c r="H302" s="13">
        <v>1</v>
      </c>
      <c r="I302" s="11" t="s">
        <v>15</v>
      </c>
      <c r="J302" s="15" t="s">
        <v>225</v>
      </c>
    </row>
    <row r="303" spans="1:35" s="14" customFormat="1" ht="12" customHeight="1" x14ac:dyDescent="0.25">
      <c r="A303" s="9">
        <v>301</v>
      </c>
      <c r="B303" s="14" t="s">
        <v>837</v>
      </c>
      <c r="C303" s="14" t="s">
        <v>838</v>
      </c>
      <c r="D303" s="9" t="s">
        <v>23</v>
      </c>
      <c r="E303" s="15" t="s">
        <v>821</v>
      </c>
      <c r="F303" s="12">
        <f>DATE(2021,12,20)</f>
        <v>44550</v>
      </c>
      <c r="G303" s="13" t="s">
        <v>63</v>
      </c>
      <c r="H303" s="13">
        <v>1</v>
      </c>
      <c r="I303" s="11" t="s">
        <v>15</v>
      </c>
      <c r="J303" s="15" t="s">
        <v>225</v>
      </c>
    </row>
    <row r="304" spans="1:35" s="14" customFormat="1" ht="12" customHeight="1" x14ac:dyDescent="0.25">
      <c r="A304" s="9">
        <v>302</v>
      </c>
      <c r="B304" s="14" t="s">
        <v>839</v>
      </c>
      <c r="C304" s="14" t="s">
        <v>840</v>
      </c>
      <c r="D304" s="9" t="s">
        <v>36</v>
      </c>
      <c r="E304" s="15" t="str">
        <f t="shared" ref="E304:E310" si="5">B304</f>
        <v>Ceritinib</v>
      </c>
      <c r="F304" s="12">
        <f>DATE(2017,3,8)</f>
        <v>42802</v>
      </c>
      <c r="G304" s="13">
        <v>2014</v>
      </c>
      <c r="H304" s="13">
        <v>1</v>
      </c>
      <c r="I304" s="11" t="s">
        <v>24</v>
      </c>
      <c r="J304" s="15" t="s">
        <v>108</v>
      </c>
    </row>
    <row r="305" spans="1:10" s="14" customFormat="1" ht="12" customHeight="1" x14ac:dyDescent="0.25">
      <c r="A305" s="9">
        <v>303</v>
      </c>
      <c r="B305" s="14" t="s">
        <v>841</v>
      </c>
      <c r="C305" s="14" t="s">
        <v>842</v>
      </c>
      <c r="D305" s="9" t="s">
        <v>23</v>
      </c>
      <c r="E305" s="15" t="str">
        <f t="shared" si="5"/>
        <v xml:space="preserve">Certolizumab </v>
      </c>
      <c r="F305" s="12">
        <f>DATE(2017,2,5)</f>
        <v>42771</v>
      </c>
      <c r="G305" s="13">
        <v>2008</v>
      </c>
      <c r="H305" s="13">
        <v>1</v>
      </c>
      <c r="I305" s="11" t="s">
        <v>19</v>
      </c>
      <c r="J305" s="15" t="s">
        <v>94</v>
      </c>
    </row>
    <row r="306" spans="1:10" s="14" customFormat="1" ht="12" customHeight="1" x14ac:dyDescent="0.25">
      <c r="A306" s="9">
        <v>304</v>
      </c>
      <c r="B306" s="14" t="s">
        <v>843</v>
      </c>
      <c r="C306" s="14" t="s">
        <v>844</v>
      </c>
      <c r="D306" s="9" t="s">
        <v>14</v>
      </c>
      <c r="E306" s="15" t="str">
        <f t="shared" si="5"/>
        <v>Cetirizine</v>
      </c>
      <c r="F306" s="12">
        <f>DATE(2017,1,17)</f>
        <v>42752</v>
      </c>
      <c r="G306" s="13">
        <v>1995</v>
      </c>
      <c r="H306" s="13">
        <v>1</v>
      </c>
      <c r="I306" s="11" t="s">
        <v>73</v>
      </c>
      <c r="J306" s="15" t="s">
        <v>85</v>
      </c>
    </row>
    <row r="307" spans="1:10" s="14" customFormat="1" ht="12" customHeight="1" x14ac:dyDescent="0.25">
      <c r="A307" s="9">
        <v>305</v>
      </c>
      <c r="B307" s="14" t="s">
        <v>845</v>
      </c>
      <c r="C307" s="14" t="s">
        <v>846</v>
      </c>
      <c r="D307" s="9" t="s">
        <v>31</v>
      </c>
      <c r="E307" s="15" t="str">
        <f t="shared" si="5"/>
        <v>Cetuximab</v>
      </c>
      <c r="F307" s="12">
        <f>DATE(2017,10,3)</f>
        <v>43011</v>
      </c>
      <c r="G307" s="13">
        <v>2004</v>
      </c>
      <c r="H307" s="13">
        <v>1</v>
      </c>
      <c r="I307" s="11" t="s">
        <v>24</v>
      </c>
      <c r="J307" s="15" t="s">
        <v>207</v>
      </c>
    </row>
    <row r="308" spans="1:10" s="14" customFormat="1" ht="12" customHeight="1" x14ac:dyDescent="0.25">
      <c r="A308" s="9">
        <v>306</v>
      </c>
      <c r="B308" s="14" t="s">
        <v>847</v>
      </c>
      <c r="C308" s="14" t="s">
        <v>848</v>
      </c>
      <c r="D308" s="9" t="s">
        <v>31</v>
      </c>
      <c r="E308" s="15" t="str">
        <f t="shared" si="5"/>
        <v>Cevimeline</v>
      </c>
      <c r="F308" s="12">
        <f>DATE(2017,1,23)</f>
        <v>42758</v>
      </c>
      <c r="G308" s="13">
        <v>2000</v>
      </c>
      <c r="H308" s="13">
        <v>1</v>
      </c>
      <c r="I308" s="11" t="s">
        <v>78</v>
      </c>
      <c r="J308" s="15" t="s">
        <v>849</v>
      </c>
    </row>
    <row r="309" spans="1:10" s="14" customFormat="1" ht="12" customHeight="1" x14ac:dyDescent="0.25">
      <c r="A309" s="9">
        <v>307</v>
      </c>
      <c r="B309" s="14" t="s">
        <v>850</v>
      </c>
      <c r="C309" s="14" t="s">
        <v>188</v>
      </c>
      <c r="D309" s="9" t="s">
        <v>31</v>
      </c>
      <c r="E309" s="15" t="str">
        <f t="shared" si="5"/>
        <v>Chamomile</v>
      </c>
      <c r="F309" s="12">
        <f>DATE(2022,5,25)</f>
        <v>44706</v>
      </c>
      <c r="G309" s="13" t="s">
        <v>174</v>
      </c>
      <c r="H309" s="13">
        <v>1</v>
      </c>
      <c r="I309" s="11" t="s">
        <v>175</v>
      </c>
      <c r="J309" s="15" t="s">
        <v>204</v>
      </c>
    </row>
    <row r="310" spans="1:10" s="14" customFormat="1" ht="12" customHeight="1" x14ac:dyDescent="0.25">
      <c r="A310" s="9">
        <v>308</v>
      </c>
      <c r="B310" s="14" t="s">
        <v>851</v>
      </c>
      <c r="C310" s="14" t="s">
        <v>188</v>
      </c>
      <c r="D310" s="9" t="s">
        <v>44</v>
      </c>
      <c r="E310" s="15" t="str">
        <f t="shared" si="5"/>
        <v>Chaparral</v>
      </c>
      <c r="F310" s="12">
        <f>DATE(2022,5,25)</f>
        <v>44706</v>
      </c>
      <c r="G310" s="13" t="s">
        <v>174</v>
      </c>
      <c r="H310" s="13">
        <v>1</v>
      </c>
      <c r="I310" s="11" t="s">
        <v>175</v>
      </c>
      <c r="J310" s="15" t="s">
        <v>852</v>
      </c>
    </row>
    <row r="311" spans="1:10" s="14" customFormat="1" ht="12" customHeight="1" x14ac:dyDescent="0.25">
      <c r="A311" s="9">
        <v>309</v>
      </c>
      <c r="B311" s="14" t="s">
        <v>853</v>
      </c>
      <c r="C311" s="14" t="s">
        <v>854</v>
      </c>
      <c r="D311" s="9" t="s">
        <v>31</v>
      </c>
      <c r="E311" s="15" t="s">
        <v>855</v>
      </c>
      <c r="F311" s="12">
        <f>DATE(2023,1,24)</f>
        <v>44950</v>
      </c>
      <c r="G311" s="13" t="s">
        <v>174</v>
      </c>
      <c r="H311" s="13">
        <v>1</v>
      </c>
      <c r="I311" s="11" t="s">
        <v>175</v>
      </c>
      <c r="J311" s="15" t="s">
        <v>856</v>
      </c>
    </row>
    <row r="312" spans="1:10" s="14" customFormat="1" ht="12" customHeight="1" x14ac:dyDescent="0.25">
      <c r="A312" s="9">
        <v>310</v>
      </c>
      <c r="B312" s="14" t="s">
        <v>857</v>
      </c>
      <c r="C312" s="14" t="s">
        <v>858</v>
      </c>
      <c r="D312" s="9" t="s">
        <v>23</v>
      </c>
      <c r="E312" s="15" t="str">
        <f>B312</f>
        <v>Chenodiol</v>
      </c>
      <c r="F312" s="12">
        <f>DATE(2017,1,24)</f>
        <v>42759</v>
      </c>
      <c r="G312" s="13">
        <v>1983</v>
      </c>
      <c r="H312" s="13">
        <v>1</v>
      </c>
      <c r="I312" s="11" t="s">
        <v>182</v>
      </c>
      <c r="J312" s="15" t="s">
        <v>859</v>
      </c>
    </row>
    <row r="313" spans="1:10" s="14" customFormat="1" ht="12" customHeight="1" x14ac:dyDescent="0.25">
      <c r="A313" s="9">
        <v>311</v>
      </c>
      <c r="B313" s="14" t="s">
        <v>860</v>
      </c>
      <c r="C313" s="14" t="s">
        <v>188</v>
      </c>
      <c r="D313" s="9" t="s">
        <v>14</v>
      </c>
      <c r="E313" s="15" t="str">
        <f>B313</f>
        <v>Chi R Yun</v>
      </c>
      <c r="F313" s="12">
        <f>DATE(2022,5,25)</f>
        <v>44706</v>
      </c>
      <c r="G313" s="13" t="s">
        <v>174</v>
      </c>
      <c r="H313" s="13">
        <v>1</v>
      </c>
      <c r="I313" s="11" t="s">
        <v>175</v>
      </c>
      <c r="J313" s="15" t="s">
        <v>861</v>
      </c>
    </row>
    <row r="314" spans="1:10" s="14" customFormat="1" ht="12" customHeight="1" x14ac:dyDescent="0.25">
      <c r="A314" s="9">
        <v>312</v>
      </c>
      <c r="B314" s="14" t="s">
        <v>862</v>
      </c>
      <c r="C314" s="14" t="s">
        <v>863</v>
      </c>
      <c r="D314" s="9" t="s">
        <v>31</v>
      </c>
      <c r="E314" s="15" t="str">
        <f>B314</f>
        <v>Chloral hydrate</v>
      </c>
      <c r="F314" s="12">
        <f>DATE(2017,1,21)</f>
        <v>42756</v>
      </c>
      <c r="G314" s="13" t="s">
        <v>240</v>
      </c>
      <c r="H314" s="13">
        <v>1</v>
      </c>
      <c r="I314" s="11" t="s">
        <v>100</v>
      </c>
      <c r="J314" s="15" t="s">
        <v>204</v>
      </c>
    </row>
    <row r="315" spans="1:10" s="14" customFormat="1" ht="12" customHeight="1" x14ac:dyDescent="0.25">
      <c r="A315" s="9">
        <v>313</v>
      </c>
      <c r="B315" s="14" t="s">
        <v>864</v>
      </c>
      <c r="C315" s="14" t="s">
        <v>865</v>
      </c>
      <c r="D315" s="9" t="s">
        <v>36</v>
      </c>
      <c r="E315" s="15" t="str">
        <f>B315</f>
        <v>Chlorambucil</v>
      </c>
      <c r="F315" s="12">
        <f>DATE(2017,10,3)</f>
        <v>43011</v>
      </c>
      <c r="G315" s="13">
        <v>1957</v>
      </c>
      <c r="H315" s="13">
        <v>1</v>
      </c>
      <c r="I315" s="11" t="s">
        <v>24</v>
      </c>
      <c r="J315" s="15" t="s">
        <v>504</v>
      </c>
    </row>
    <row r="316" spans="1:10" s="14" customFormat="1" ht="12" customHeight="1" x14ac:dyDescent="0.25">
      <c r="A316" s="9">
        <v>314</v>
      </c>
      <c r="B316" s="14" t="s">
        <v>866</v>
      </c>
      <c r="C316" s="14" t="s">
        <v>867</v>
      </c>
      <c r="D316" s="9" t="s">
        <v>44</v>
      </c>
      <c r="E316" s="15" t="str">
        <f>B316</f>
        <v>Chloramphenicol</v>
      </c>
      <c r="F316" s="12">
        <f>DATE(2017,1,25)</f>
        <v>42760</v>
      </c>
      <c r="G316" s="13">
        <v>1951</v>
      </c>
      <c r="H316" s="13">
        <v>1</v>
      </c>
      <c r="I316" s="11" t="s">
        <v>15</v>
      </c>
      <c r="J316" s="15" t="s">
        <v>225</v>
      </c>
    </row>
    <row r="317" spans="1:10" s="14" customFormat="1" ht="12" customHeight="1" x14ac:dyDescent="0.25">
      <c r="A317" s="9">
        <v>315</v>
      </c>
      <c r="B317" s="14" t="s">
        <v>868</v>
      </c>
      <c r="C317" s="14" t="s">
        <v>869</v>
      </c>
      <c r="D317" s="9" t="s">
        <v>31</v>
      </c>
      <c r="E317" s="15" t="s">
        <v>870</v>
      </c>
      <c r="F317" s="12">
        <f>DATE(2017,1,17)</f>
        <v>42752</v>
      </c>
      <c r="G317" s="13" t="s">
        <v>174</v>
      </c>
      <c r="H317" s="13">
        <v>1</v>
      </c>
      <c r="I317" s="11" t="s">
        <v>73</v>
      </c>
      <c r="J317" s="15" t="s">
        <v>85</v>
      </c>
    </row>
    <row r="318" spans="1:10" s="14" customFormat="1" ht="12" customHeight="1" x14ac:dyDescent="0.25">
      <c r="A318" s="9">
        <v>316</v>
      </c>
      <c r="B318" s="14" t="s">
        <v>871</v>
      </c>
      <c r="C318" s="14" t="s">
        <v>872</v>
      </c>
      <c r="D318" s="13" t="s">
        <v>14</v>
      </c>
      <c r="E318" s="15" t="str">
        <f>B318</f>
        <v>Chlordiazepoxide</v>
      </c>
      <c r="F318" s="20">
        <f>DATE(2023,6,22)</f>
        <v>45099</v>
      </c>
      <c r="G318" s="13">
        <v>1960</v>
      </c>
      <c r="H318" s="13">
        <v>1</v>
      </c>
      <c r="I318" s="15" t="s">
        <v>100</v>
      </c>
      <c r="J318" s="15" t="s">
        <v>204</v>
      </c>
    </row>
    <row r="319" spans="1:10" s="14" customFormat="1" ht="12" customHeight="1" x14ac:dyDescent="0.25">
      <c r="A319" s="9">
        <v>317</v>
      </c>
      <c r="B319" s="14" t="s">
        <v>873</v>
      </c>
      <c r="C319" s="14" t="s">
        <v>874</v>
      </c>
      <c r="D319" s="13" t="s">
        <v>36</v>
      </c>
      <c r="E319" s="15" t="str">
        <f>B319</f>
        <v>Chloroquine</v>
      </c>
      <c r="F319" s="20">
        <f>DATE(2021,4,15)</f>
        <v>44301</v>
      </c>
      <c r="G319" s="13">
        <v>1949</v>
      </c>
      <c r="H319" s="13">
        <v>1</v>
      </c>
      <c r="I319" s="15" t="s">
        <v>15</v>
      </c>
      <c r="J319" s="15" t="s">
        <v>261</v>
      </c>
    </row>
    <row r="320" spans="1:10" s="14" customFormat="1" ht="12" customHeight="1" x14ac:dyDescent="0.25">
      <c r="A320" s="9">
        <v>318</v>
      </c>
      <c r="B320" s="14" t="s">
        <v>875</v>
      </c>
      <c r="C320" s="14" t="s">
        <v>876</v>
      </c>
      <c r="D320" s="13" t="s">
        <v>36</v>
      </c>
      <c r="E320" s="15" t="s">
        <v>507</v>
      </c>
      <c r="F320" s="20">
        <f>DATE(2021,10,13)</f>
        <v>44482</v>
      </c>
      <c r="G320" s="13">
        <v>1958</v>
      </c>
      <c r="H320" s="13">
        <v>1</v>
      </c>
      <c r="I320" s="15" t="s">
        <v>49</v>
      </c>
      <c r="J320" s="15" t="s">
        <v>59</v>
      </c>
    </row>
    <row r="321" spans="1:10" s="14" customFormat="1" ht="12" customHeight="1" x14ac:dyDescent="0.25">
      <c r="A321" s="9">
        <v>319</v>
      </c>
      <c r="B321" s="14" t="s">
        <v>877</v>
      </c>
      <c r="C321" s="14" t="s">
        <v>878</v>
      </c>
      <c r="D321" s="13" t="s">
        <v>31</v>
      </c>
      <c r="E321" s="15" t="s">
        <v>641</v>
      </c>
      <c r="F321" s="20">
        <f>DATE(2017,1,17)</f>
        <v>42752</v>
      </c>
      <c r="G321" s="13">
        <v>1971</v>
      </c>
      <c r="H321" s="13">
        <v>1</v>
      </c>
      <c r="I321" s="15" t="s">
        <v>73</v>
      </c>
      <c r="J321" s="15" t="s">
        <v>85</v>
      </c>
    </row>
    <row r="322" spans="1:10" s="14" customFormat="1" ht="12" customHeight="1" x14ac:dyDescent="0.25">
      <c r="A322" s="9">
        <v>320</v>
      </c>
      <c r="B322" s="14" t="s">
        <v>879</v>
      </c>
      <c r="C322" s="14" t="s">
        <v>880</v>
      </c>
      <c r="D322" s="13" t="s">
        <v>166</v>
      </c>
      <c r="E322" s="15" t="str">
        <f>B322</f>
        <v>Chlorpromazine</v>
      </c>
      <c r="F322" s="20">
        <f>DATE(2017,10,3)</f>
        <v>43011</v>
      </c>
      <c r="G322" s="13">
        <v>1957</v>
      </c>
      <c r="H322" s="13">
        <v>1</v>
      </c>
      <c r="I322" s="15" t="s">
        <v>100</v>
      </c>
      <c r="J322" s="15" t="s">
        <v>328</v>
      </c>
    </row>
    <row r="323" spans="1:10" s="14" customFormat="1" ht="12" customHeight="1" x14ac:dyDescent="0.25">
      <c r="A323" s="9">
        <v>321</v>
      </c>
      <c r="B323" s="14" t="s">
        <v>881</v>
      </c>
      <c r="C323" s="14" t="s">
        <v>882</v>
      </c>
      <c r="D323" s="13" t="s">
        <v>44</v>
      </c>
      <c r="E323" s="15" t="str">
        <f>B323</f>
        <v>Chlorpropamide</v>
      </c>
      <c r="F323" s="20">
        <f>DATE(2017,10,5)</f>
        <v>43013</v>
      </c>
      <c r="G323" s="13">
        <v>1958</v>
      </c>
      <c r="H323" s="13">
        <v>1</v>
      </c>
      <c r="I323" s="15" t="s">
        <v>45</v>
      </c>
      <c r="J323" s="15" t="s">
        <v>46</v>
      </c>
    </row>
    <row r="324" spans="1:10" s="14" customFormat="1" ht="12" customHeight="1" x14ac:dyDescent="0.25">
      <c r="A324" s="9">
        <v>322</v>
      </c>
      <c r="B324" s="14" t="s">
        <v>883</v>
      </c>
      <c r="C324" s="14" t="s">
        <v>884</v>
      </c>
      <c r="D324" s="13" t="s">
        <v>23</v>
      </c>
      <c r="E324" s="15" t="s">
        <v>885</v>
      </c>
      <c r="F324" s="20">
        <f>DATE(2017,6,10)</f>
        <v>42896</v>
      </c>
      <c r="G324" s="13" t="s">
        <v>63</v>
      </c>
      <c r="H324" s="13">
        <v>1</v>
      </c>
      <c r="I324" s="15" t="s">
        <v>15</v>
      </c>
      <c r="J324" s="15" t="s">
        <v>225</v>
      </c>
    </row>
    <row r="325" spans="1:10" s="14" customFormat="1" ht="12" customHeight="1" x14ac:dyDescent="0.25">
      <c r="A325" s="9">
        <v>323</v>
      </c>
      <c r="B325" s="14" t="s">
        <v>886</v>
      </c>
      <c r="C325" s="14" t="s">
        <v>887</v>
      </c>
      <c r="D325" s="9" t="s">
        <v>23</v>
      </c>
      <c r="E325" s="15" t="s">
        <v>507</v>
      </c>
      <c r="F325" s="12">
        <f>DATE(2021,10,13)</f>
        <v>44482</v>
      </c>
      <c r="G325" s="13">
        <v>1960</v>
      </c>
      <c r="H325" s="13">
        <v>1</v>
      </c>
      <c r="I325" s="11" t="s">
        <v>49</v>
      </c>
      <c r="J325" s="15" t="s">
        <v>59</v>
      </c>
    </row>
    <row r="326" spans="1:10" s="14" customFormat="1" ht="12" customHeight="1" x14ac:dyDescent="0.25">
      <c r="A326" s="9">
        <v>324</v>
      </c>
      <c r="B326" s="14" t="s">
        <v>888</v>
      </c>
      <c r="C326" s="14" t="s">
        <v>889</v>
      </c>
      <c r="D326" s="9" t="s">
        <v>44</v>
      </c>
      <c r="E326" s="15" t="str">
        <f>B326</f>
        <v>Chlorzoxazone</v>
      </c>
      <c r="F326" s="12">
        <f>DATE(2017,1,30)</f>
        <v>42765</v>
      </c>
      <c r="G326" s="13">
        <v>1958</v>
      </c>
      <c r="H326" s="13">
        <v>1</v>
      </c>
      <c r="I326" s="11" t="s">
        <v>100</v>
      </c>
      <c r="J326" s="15" t="s">
        <v>451</v>
      </c>
    </row>
    <row r="327" spans="1:10" s="14" customFormat="1" ht="12" customHeight="1" x14ac:dyDescent="0.25">
      <c r="A327" s="9">
        <v>325</v>
      </c>
      <c r="B327" s="14" t="s">
        <v>890</v>
      </c>
      <c r="C327" s="14" t="s">
        <v>891</v>
      </c>
      <c r="D327" s="9" t="s">
        <v>31</v>
      </c>
      <c r="E327" s="15" t="str">
        <f>B327</f>
        <v xml:space="preserve">Cholestyramine </v>
      </c>
      <c r="F327" s="12">
        <f>DATE(2017,9,29)</f>
        <v>43007</v>
      </c>
      <c r="G327" s="13">
        <v>1973</v>
      </c>
      <c r="H327" s="13">
        <v>1</v>
      </c>
      <c r="I327" s="11" t="s">
        <v>49</v>
      </c>
      <c r="J327" s="15" t="s">
        <v>161</v>
      </c>
    </row>
    <row r="328" spans="1:10" s="14" customFormat="1" ht="12" customHeight="1" x14ac:dyDescent="0.25">
      <c r="A328" s="9">
        <v>326</v>
      </c>
      <c r="B328" s="14" t="s">
        <v>892</v>
      </c>
      <c r="C328" s="14" t="s">
        <v>893</v>
      </c>
      <c r="D328" s="9" t="s">
        <v>894</v>
      </c>
      <c r="E328" s="15" t="str">
        <f>B328</f>
        <v>Cholic acid</v>
      </c>
      <c r="F328" s="12">
        <f>DATE(2017,1,24)</f>
        <v>42759</v>
      </c>
      <c r="G328" s="13">
        <v>2015</v>
      </c>
      <c r="H328" s="13">
        <v>1</v>
      </c>
      <c r="I328" s="11" t="s">
        <v>182</v>
      </c>
      <c r="J328" s="15" t="s">
        <v>895</v>
      </c>
    </row>
    <row r="329" spans="1:10" s="14" customFormat="1" ht="12" customHeight="1" x14ac:dyDescent="0.25">
      <c r="A329" s="9">
        <v>327</v>
      </c>
      <c r="B329" s="14" t="s">
        <v>896</v>
      </c>
      <c r="C329" s="14" t="s">
        <v>897</v>
      </c>
      <c r="D329" s="9" t="s">
        <v>31</v>
      </c>
      <c r="E329" s="15" t="s">
        <v>898</v>
      </c>
      <c r="F329" s="12">
        <f>DATE(2020,5,23)</f>
        <v>43974</v>
      </c>
      <c r="G329" s="13" t="s">
        <v>174</v>
      </c>
      <c r="H329" s="13">
        <v>1</v>
      </c>
      <c r="I329" s="11" t="s">
        <v>190</v>
      </c>
      <c r="J329" s="15" t="s">
        <v>198</v>
      </c>
    </row>
    <row r="330" spans="1:10" s="14" customFormat="1" ht="12" customHeight="1" x14ac:dyDescent="0.25">
      <c r="A330" s="9">
        <v>328</v>
      </c>
      <c r="B330" s="14" t="s">
        <v>899</v>
      </c>
      <c r="C330" s="14" t="s">
        <v>900</v>
      </c>
      <c r="D330" s="9" t="s">
        <v>36</v>
      </c>
      <c r="E330" s="15" t="s">
        <v>901</v>
      </c>
      <c r="F330" s="12">
        <f>DATE(2018,3,16)</f>
        <v>43175</v>
      </c>
      <c r="G330" s="13" t="s">
        <v>174</v>
      </c>
      <c r="H330" s="13">
        <v>1</v>
      </c>
      <c r="I330" s="11" t="s">
        <v>190</v>
      </c>
      <c r="J330" s="15" t="s">
        <v>769</v>
      </c>
    </row>
    <row r="331" spans="1:10" s="14" customFormat="1" ht="12" customHeight="1" x14ac:dyDescent="0.25">
      <c r="A331" s="9">
        <v>329</v>
      </c>
      <c r="B331" s="14" t="s">
        <v>902</v>
      </c>
      <c r="C331" s="14" t="s">
        <v>903</v>
      </c>
      <c r="D331" s="9" t="s">
        <v>31</v>
      </c>
      <c r="E331" s="15" t="s">
        <v>904</v>
      </c>
      <c r="F331" s="12">
        <f>DATE(2018,3,26)</f>
        <v>43185</v>
      </c>
      <c r="G331" s="13" t="s">
        <v>63</v>
      </c>
      <c r="H331" s="13">
        <v>1</v>
      </c>
      <c r="I331" s="11" t="s">
        <v>473</v>
      </c>
      <c r="J331" s="15" t="s">
        <v>905</v>
      </c>
    </row>
    <row r="332" spans="1:10" s="14" customFormat="1" ht="12" customHeight="1" x14ac:dyDescent="0.25">
      <c r="A332" s="9">
        <v>330</v>
      </c>
      <c r="B332" s="14" t="s">
        <v>906</v>
      </c>
      <c r="C332" s="14" t="s">
        <v>335</v>
      </c>
      <c r="D332" s="9" t="s">
        <v>654</v>
      </c>
      <c r="E332" s="15" t="s">
        <v>688</v>
      </c>
      <c r="F332" s="12">
        <f>DATE(2019,6,5)</f>
        <v>43621</v>
      </c>
      <c r="G332" s="13" t="s">
        <v>174</v>
      </c>
      <c r="H332" s="13">
        <v>1</v>
      </c>
      <c r="I332" s="11" t="s">
        <v>66</v>
      </c>
      <c r="J332" s="15" t="s">
        <v>689</v>
      </c>
    </row>
    <row r="333" spans="1:10" s="14" customFormat="1" ht="12" customHeight="1" x14ac:dyDescent="0.25">
      <c r="A333" s="9">
        <v>331</v>
      </c>
      <c r="B333" s="14" t="s">
        <v>907</v>
      </c>
      <c r="C333" s="14" t="s">
        <v>908</v>
      </c>
      <c r="D333" s="9" t="s">
        <v>31</v>
      </c>
      <c r="E333" s="15" t="str">
        <f>B333</f>
        <v>Cidofovir</v>
      </c>
      <c r="F333" s="12">
        <f>DATE(2017,10,3)</f>
        <v>43011</v>
      </c>
      <c r="G333" s="13">
        <v>1996</v>
      </c>
      <c r="H333" s="13">
        <v>1</v>
      </c>
      <c r="I333" s="11" t="s">
        <v>15</v>
      </c>
      <c r="J333" s="15" t="s">
        <v>909</v>
      </c>
    </row>
    <row r="334" spans="1:10" s="14" customFormat="1" ht="12" customHeight="1" x14ac:dyDescent="0.25">
      <c r="A334" s="9">
        <v>332</v>
      </c>
      <c r="B334" s="14" t="s">
        <v>910</v>
      </c>
      <c r="C334" s="14" t="s">
        <v>911</v>
      </c>
      <c r="D334" s="9" t="s">
        <v>31</v>
      </c>
      <c r="E334" s="15" t="s">
        <v>912</v>
      </c>
      <c r="F334" s="12">
        <f>DATE(2017,10,3)</f>
        <v>43011</v>
      </c>
      <c r="G334" s="13">
        <v>1985</v>
      </c>
      <c r="H334" s="13">
        <v>1</v>
      </c>
      <c r="I334" s="11" t="s">
        <v>15</v>
      </c>
      <c r="J334" s="15" t="s">
        <v>225</v>
      </c>
    </row>
    <row r="335" spans="1:10" s="14" customFormat="1" ht="12" customHeight="1" x14ac:dyDescent="0.25">
      <c r="A335" s="9">
        <v>333</v>
      </c>
      <c r="B335" s="14" t="s">
        <v>913</v>
      </c>
      <c r="C335" s="14" t="s">
        <v>914</v>
      </c>
      <c r="D335" s="9" t="s">
        <v>31</v>
      </c>
      <c r="E335" s="15" t="str">
        <f>B335</f>
        <v>Cilostazol</v>
      </c>
      <c r="F335" s="12">
        <f>DATE(2017,10,3)</f>
        <v>43011</v>
      </c>
      <c r="G335" s="13">
        <v>1999</v>
      </c>
      <c r="H335" s="13">
        <v>1</v>
      </c>
      <c r="I335" s="11" t="s">
        <v>49</v>
      </c>
      <c r="J335" s="15" t="s">
        <v>915</v>
      </c>
    </row>
    <row r="336" spans="1:10" s="14" customFormat="1" ht="12" customHeight="1" x14ac:dyDescent="0.25">
      <c r="A336" s="9">
        <v>334</v>
      </c>
      <c r="B336" s="14" t="s">
        <v>916</v>
      </c>
      <c r="C336" s="14" t="s">
        <v>917</v>
      </c>
      <c r="D336" s="9" t="s">
        <v>44</v>
      </c>
      <c r="E336" s="15" t="str">
        <f>B336</f>
        <v>Cimetidine</v>
      </c>
      <c r="F336" s="12">
        <f>DATE(2018,1,18)</f>
        <v>43118</v>
      </c>
      <c r="G336" s="13">
        <v>1977</v>
      </c>
      <c r="H336" s="13">
        <v>1</v>
      </c>
      <c r="I336" s="11" t="s">
        <v>182</v>
      </c>
      <c r="J336" s="15" t="s">
        <v>918</v>
      </c>
    </row>
    <row r="337" spans="1:35" s="14" customFormat="1" ht="12" customHeight="1" x14ac:dyDescent="0.25">
      <c r="A337" s="9">
        <v>335</v>
      </c>
      <c r="B337" s="14" t="s">
        <v>919</v>
      </c>
      <c r="C337" s="14" t="s">
        <v>920</v>
      </c>
      <c r="D337" s="9" t="s">
        <v>77</v>
      </c>
      <c r="E337" s="14" t="s">
        <v>919</v>
      </c>
      <c r="F337" s="12"/>
      <c r="G337" s="13">
        <v>2023</v>
      </c>
      <c r="H337" s="13">
        <v>0</v>
      </c>
      <c r="I337" s="11" t="s">
        <v>104</v>
      </c>
      <c r="J337" s="15" t="s">
        <v>921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s="14" customFormat="1" ht="12" customHeight="1" x14ac:dyDescent="0.25">
      <c r="A338" s="9">
        <v>336</v>
      </c>
      <c r="B338" s="14" t="s">
        <v>922</v>
      </c>
      <c r="C338" s="14" t="s">
        <v>923</v>
      </c>
      <c r="D338" s="9" t="s">
        <v>166</v>
      </c>
      <c r="E338" s="15" t="str">
        <f>B338</f>
        <v>Ciprofloxacin</v>
      </c>
      <c r="F338" s="12">
        <f>DATE(2024,5,9)</f>
        <v>45421</v>
      </c>
      <c r="G338" s="13">
        <v>1987</v>
      </c>
      <c r="H338" s="13">
        <v>1</v>
      </c>
      <c r="I338" s="11" t="s">
        <v>15</v>
      </c>
      <c r="J338" s="15" t="s">
        <v>225</v>
      </c>
    </row>
    <row r="339" spans="1:35" s="14" customFormat="1" ht="12" customHeight="1" x14ac:dyDescent="0.25">
      <c r="A339" s="9">
        <v>337</v>
      </c>
      <c r="B339" s="14" t="s">
        <v>924</v>
      </c>
      <c r="C339" s="14" t="s">
        <v>925</v>
      </c>
      <c r="D339" s="9" t="s">
        <v>31</v>
      </c>
      <c r="E339" s="15" t="s">
        <v>926</v>
      </c>
      <c r="F339" s="12">
        <f>DATE(2017,10,3)</f>
        <v>43011</v>
      </c>
      <c r="G339" s="13" t="s">
        <v>512</v>
      </c>
      <c r="H339" s="13">
        <v>1</v>
      </c>
      <c r="I339" s="11" t="s">
        <v>182</v>
      </c>
      <c r="J339" s="15" t="s">
        <v>927</v>
      </c>
    </row>
    <row r="340" spans="1:35" s="14" customFormat="1" ht="12" customHeight="1" x14ac:dyDescent="0.25">
      <c r="A340" s="9">
        <v>338</v>
      </c>
      <c r="B340" s="14" t="s">
        <v>928</v>
      </c>
      <c r="C340" s="14" t="s">
        <v>929</v>
      </c>
      <c r="D340" s="9" t="s">
        <v>14</v>
      </c>
      <c r="E340" s="15" t="str">
        <f>B340</f>
        <v>Cisplatin</v>
      </c>
      <c r="F340" s="12">
        <f>DATE(2020,9,15)</f>
        <v>44089</v>
      </c>
      <c r="G340" s="13">
        <v>1978</v>
      </c>
      <c r="H340" s="13">
        <v>1</v>
      </c>
      <c r="I340" s="11" t="s">
        <v>24</v>
      </c>
      <c r="J340" s="15" t="s">
        <v>207</v>
      </c>
    </row>
    <row r="341" spans="1:35" s="14" customFormat="1" ht="12" customHeight="1" x14ac:dyDescent="0.25">
      <c r="A341" s="9">
        <v>339</v>
      </c>
      <c r="B341" s="14" t="s">
        <v>930</v>
      </c>
      <c r="C341" s="14" t="s">
        <v>931</v>
      </c>
      <c r="D341" s="9" t="s">
        <v>14</v>
      </c>
      <c r="E341" s="15" t="str">
        <f>B341</f>
        <v>Citalopram</v>
      </c>
      <c r="F341" s="12">
        <f>DATE(2017,10,12)</f>
        <v>43020</v>
      </c>
      <c r="G341" s="13">
        <v>1998</v>
      </c>
      <c r="H341" s="13">
        <v>1</v>
      </c>
      <c r="I341" s="11" t="s">
        <v>100</v>
      </c>
      <c r="J341" s="15" t="s">
        <v>250</v>
      </c>
    </row>
    <row r="342" spans="1:35" s="14" customFormat="1" ht="12" customHeight="1" x14ac:dyDescent="0.25">
      <c r="A342" s="9">
        <v>340</v>
      </c>
      <c r="B342" s="14" t="s">
        <v>932</v>
      </c>
      <c r="C342" s="14" t="s">
        <v>933</v>
      </c>
      <c r="D342" s="9" t="s">
        <v>31</v>
      </c>
      <c r="E342" s="15" t="str">
        <f>B342</f>
        <v>Cladribine</v>
      </c>
      <c r="F342" s="12">
        <f>DATE(2005,12,1)</f>
        <v>38687</v>
      </c>
      <c r="G342" s="13">
        <v>1993</v>
      </c>
      <c r="H342" s="13">
        <v>1</v>
      </c>
      <c r="I342" s="11" t="s">
        <v>24</v>
      </c>
      <c r="J342" s="15" t="s">
        <v>596</v>
      </c>
    </row>
    <row r="343" spans="1:35" s="14" customFormat="1" ht="12" customHeight="1" x14ac:dyDescent="0.25">
      <c r="A343" s="9">
        <v>341</v>
      </c>
      <c r="B343" s="14" t="s">
        <v>934</v>
      </c>
      <c r="C343" s="14" t="s">
        <v>935</v>
      </c>
      <c r="D343" s="9" t="s">
        <v>44</v>
      </c>
      <c r="E343" s="15" t="str">
        <f>B343</f>
        <v>Clarithromycin</v>
      </c>
      <c r="F343" s="12">
        <f>DATE(2017,8,10)</f>
        <v>42957</v>
      </c>
      <c r="G343" s="13">
        <v>1991</v>
      </c>
      <c r="H343" s="13">
        <v>1</v>
      </c>
      <c r="I343" s="11" t="s">
        <v>15</v>
      </c>
      <c r="J343" s="15" t="s">
        <v>225</v>
      </c>
    </row>
    <row r="344" spans="1:35" s="14" customFormat="1" ht="12" customHeight="1" x14ac:dyDescent="0.25">
      <c r="A344" s="9">
        <v>342</v>
      </c>
      <c r="B344" s="14" t="s">
        <v>936</v>
      </c>
      <c r="C344" s="14" t="s">
        <v>937</v>
      </c>
      <c r="D344" s="9" t="s">
        <v>166</v>
      </c>
      <c r="E344" s="15" t="s">
        <v>938</v>
      </c>
      <c r="F344" s="12">
        <f>DATE(2020,10,20)</f>
        <v>44124</v>
      </c>
      <c r="G344" s="13">
        <v>1984</v>
      </c>
      <c r="H344" s="13">
        <v>1</v>
      </c>
      <c r="I344" s="11" t="s">
        <v>15</v>
      </c>
      <c r="J344" s="15" t="s">
        <v>225</v>
      </c>
    </row>
    <row r="345" spans="1:35" s="14" customFormat="1" ht="11.25" customHeight="1" x14ac:dyDescent="0.25">
      <c r="A345" s="9">
        <v>343</v>
      </c>
      <c r="B345" s="14" t="s">
        <v>939</v>
      </c>
      <c r="C345" s="14" t="s">
        <v>940</v>
      </c>
      <c r="D345" s="9" t="s">
        <v>31</v>
      </c>
      <c r="E345" s="15" t="str">
        <f>B345</f>
        <v>Clemastine</v>
      </c>
      <c r="F345" s="12">
        <f>DATE(2017,1,17)</f>
        <v>42752</v>
      </c>
      <c r="G345" s="13">
        <v>1977</v>
      </c>
      <c r="H345" s="13">
        <v>1</v>
      </c>
      <c r="I345" s="11" t="s">
        <v>73</v>
      </c>
      <c r="J345" s="15" t="s">
        <v>85</v>
      </c>
    </row>
    <row r="346" spans="1:35" s="14" customFormat="1" ht="12" customHeight="1" x14ac:dyDescent="0.3">
      <c r="A346" s="9">
        <v>344</v>
      </c>
      <c r="B346" s="14" t="s">
        <v>941</v>
      </c>
      <c r="C346" s="14" t="s">
        <v>942</v>
      </c>
      <c r="D346" s="9" t="s">
        <v>77</v>
      </c>
      <c r="E346" s="14" t="s">
        <v>941</v>
      </c>
      <c r="F346" s="9"/>
      <c r="G346" s="13">
        <v>2025</v>
      </c>
      <c r="H346" s="16">
        <v>0</v>
      </c>
      <c r="I346" s="10" t="s">
        <v>15</v>
      </c>
      <c r="J346" s="14" t="s">
        <v>943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</row>
    <row r="347" spans="1:35" s="14" customFormat="1" ht="12" customHeight="1" x14ac:dyDescent="0.25">
      <c r="A347" s="9">
        <v>345</v>
      </c>
      <c r="B347" s="14" t="s">
        <v>944</v>
      </c>
      <c r="C347" s="14" t="s">
        <v>945</v>
      </c>
      <c r="D347" s="9" t="s">
        <v>44</v>
      </c>
      <c r="E347" s="15" t="str">
        <f t="shared" ref="E347:E358" si="6">B347</f>
        <v>Clindamycin</v>
      </c>
      <c r="F347" s="12">
        <f>DATE(2019,12,16)</f>
        <v>43815</v>
      </c>
      <c r="G347" s="13">
        <v>1970</v>
      </c>
      <c r="H347" s="13">
        <v>1</v>
      </c>
      <c r="I347" s="11" t="s">
        <v>15</v>
      </c>
      <c r="J347" s="15" t="s">
        <v>225</v>
      </c>
    </row>
    <row r="348" spans="1:35" s="14" customFormat="1" ht="12" customHeight="1" x14ac:dyDescent="0.25">
      <c r="A348" s="9">
        <v>346</v>
      </c>
      <c r="B348" s="14" t="s">
        <v>946</v>
      </c>
      <c r="C348" s="14" t="s">
        <v>947</v>
      </c>
      <c r="D348" s="9" t="s">
        <v>31</v>
      </c>
      <c r="E348" s="15" t="str">
        <f t="shared" si="6"/>
        <v>Clobazam</v>
      </c>
      <c r="F348" s="12">
        <f>DATE(2017,1,25)</f>
        <v>42760</v>
      </c>
      <c r="G348" s="13">
        <v>2011</v>
      </c>
      <c r="H348" s="13">
        <v>1</v>
      </c>
      <c r="I348" s="11" t="s">
        <v>100</v>
      </c>
      <c r="J348" s="15" t="s">
        <v>630</v>
      </c>
    </row>
    <row r="349" spans="1:35" s="14" customFormat="1" ht="12" customHeight="1" x14ac:dyDescent="0.25">
      <c r="A349" s="9">
        <v>347</v>
      </c>
      <c r="B349" s="14" t="s">
        <v>948</v>
      </c>
      <c r="C349" s="14" t="s">
        <v>949</v>
      </c>
      <c r="D349" s="9" t="s">
        <v>36</v>
      </c>
      <c r="E349" s="15" t="str">
        <f t="shared" si="6"/>
        <v>Clofarabine</v>
      </c>
      <c r="F349" s="12">
        <f>DATE(2017,10,12)</f>
        <v>43020</v>
      </c>
      <c r="G349" s="13">
        <v>2004</v>
      </c>
      <c r="H349" s="13">
        <v>1</v>
      </c>
      <c r="I349" s="11" t="s">
        <v>24</v>
      </c>
      <c r="J349" s="15" t="s">
        <v>950</v>
      </c>
    </row>
    <row r="350" spans="1:35" s="14" customFormat="1" ht="12" customHeight="1" x14ac:dyDescent="0.25">
      <c r="A350" s="9">
        <v>348</v>
      </c>
      <c r="B350" s="14" t="s">
        <v>951</v>
      </c>
      <c r="C350" s="14" t="s">
        <v>952</v>
      </c>
      <c r="D350" s="9" t="s">
        <v>31</v>
      </c>
      <c r="E350" s="15" t="str">
        <f t="shared" si="6"/>
        <v>Clofazimine</v>
      </c>
      <c r="F350" s="12">
        <f>DATE(2017,10,12)</f>
        <v>43020</v>
      </c>
      <c r="G350" s="13">
        <v>1986</v>
      </c>
      <c r="H350" s="13">
        <v>1</v>
      </c>
      <c r="I350" s="11" t="s">
        <v>15</v>
      </c>
      <c r="J350" s="15" t="s">
        <v>953</v>
      </c>
    </row>
    <row r="351" spans="1:35" s="14" customFormat="1" ht="12" customHeight="1" x14ac:dyDescent="0.25">
      <c r="A351" s="9">
        <v>349</v>
      </c>
      <c r="B351" s="14" t="s">
        <v>954</v>
      </c>
      <c r="C351" s="14" t="s">
        <v>955</v>
      </c>
      <c r="D351" s="9" t="s">
        <v>36</v>
      </c>
      <c r="E351" s="15" t="str">
        <f t="shared" si="6"/>
        <v>Clofibrate</v>
      </c>
      <c r="F351" s="12">
        <f>DATE(2017,1,24)</f>
        <v>42759</v>
      </c>
      <c r="G351" s="13">
        <v>1967</v>
      </c>
      <c r="H351" s="13">
        <v>1</v>
      </c>
      <c r="I351" s="11" t="s">
        <v>49</v>
      </c>
      <c r="J351" s="15" t="s">
        <v>161</v>
      </c>
    </row>
    <row r="352" spans="1:35" s="14" customFormat="1" ht="12" customHeight="1" x14ac:dyDescent="0.25">
      <c r="A352" s="9">
        <v>350</v>
      </c>
      <c r="B352" s="14" t="s">
        <v>956</v>
      </c>
      <c r="C352" s="14" t="s">
        <v>957</v>
      </c>
      <c r="D352" s="9" t="s">
        <v>14</v>
      </c>
      <c r="E352" s="15" t="str">
        <f t="shared" si="6"/>
        <v>Clomiphene</v>
      </c>
      <c r="F352" s="12">
        <f>DATE(2017,10,12)</f>
        <v>43020</v>
      </c>
      <c r="G352" s="13">
        <v>1967</v>
      </c>
      <c r="H352" s="13">
        <v>1</v>
      </c>
      <c r="I352" s="11" t="s">
        <v>473</v>
      </c>
      <c r="J352" s="15" t="s">
        <v>958</v>
      </c>
    </row>
    <row r="353" spans="1:10" s="14" customFormat="1" ht="12" customHeight="1" x14ac:dyDescent="0.25">
      <c r="A353" s="9">
        <v>351</v>
      </c>
      <c r="B353" s="14" t="s">
        <v>959</v>
      </c>
      <c r="C353" s="14" t="s">
        <v>960</v>
      </c>
      <c r="D353" s="9" t="s">
        <v>36</v>
      </c>
      <c r="E353" s="15" t="str">
        <f t="shared" si="6"/>
        <v>Clomipramine</v>
      </c>
      <c r="F353" s="12">
        <f>DATE(2017,10,12)</f>
        <v>43020</v>
      </c>
      <c r="G353" s="13">
        <v>1989</v>
      </c>
      <c r="H353" s="13">
        <v>1</v>
      </c>
      <c r="I353" s="11" t="s">
        <v>100</v>
      </c>
      <c r="J353" s="15" t="s">
        <v>250</v>
      </c>
    </row>
    <row r="354" spans="1:10" s="14" customFormat="1" ht="12" customHeight="1" x14ac:dyDescent="0.25">
      <c r="A354" s="9">
        <v>352</v>
      </c>
      <c r="B354" s="14" t="s">
        <v>961</v>
      </c>
      <c r="C354" s="14" t="s">
        <v>962</v>
      </c>
      <c r="D354" s="9" t="s">
        <v>36</v>
      </c>
      <c r="E354" s="15" t="str">
        <f t="shared" si="6"/>
        <v>Clonazepam</v>
      </c>
      <c r="F354" s="12">
        <f>DATE(2017,1,25)</f>
        <v>42760</v>
      </c>
      <c r="G354" s="13">
        <v>1997</v>
      </c>
      <c r="H354" s="13">
        <v>1</v>
      </c>
      <c r="I354" s="11" t="s">
        <v>100</v>
      </c>
      <c r="J354" s="15" t="s">
        <v>630</v>
      </c>
    </row>
    <row r="355" spans="1:10" s="14" customFormat="1" ht="12" customHeight="1" x14ac:dyDescent="0.25">
      <c r="A355" s="9">
        <v>353</v>
      </c>
      <c r="B355" s="14" t="s">
        <v>963</v>
      </c>
      <c r="C355" s="14" t="s">
        <v>964</v>
      </c>
      <c r="D355" s="9" t="s">
        <v>31</v>
      </c>
      <c r="E355" s="15" t="str">
        <f t="shared" si="6"/>
        <v>Clonidine</v>
      </c>
      <c r="F355" s="12">
        <f>DATE(2021,9,28)</f>
        <v>44467</v>
      </c>
      <c r="G355" s="13">
        <v>1974</v>
      </c>
      <c r="H355" s="13">
        <v>1</v>
      </c>
      <c r="I355" s="11" t="s">
        <v>49</v>
      </c>
      <c r="J355" s="15" t="s">
        <v>50</v>
      </c>
    </row>
    <row r="356" spans="1:10" s="14" customFormat="1" ht="12" customHeight="1" x14ac:dyDescent="0.25">
      <c r="A356" s="9">
        <v>354</v>
      </c>
      <c r="B356" s="14" t="s">
        <v>965</v>
      </c>
      <c r="C356" s="14" t="s">
        <v>966</v>
      </c>
      <c r="D356" s="9" t="s">
        <v>44</v>
      </c>
      <c r="E356" s="15" t="str">
        <f t="shared" si="6"/>
        <v>Clopidogrel</v>
      </c>
      <c r="F356" s="12">
        <f>DATE(2017,10,12)</f>
        <v>43020</v>
      </c>
      <c r="G356" s="13">
        <v>1997</v>
      </c>
      <c r="H356" s="13">
        <v>1</v>
      </c>
      <c r="I356" s="11" t="s">
        <v>230</v>
      </c>
      <c r="J356" s="15" t="s">
        <v>709</v>
      </c>
    </row>
    <row r="357" spans="1:10" s="14" customFormat="1" ht="12" customHeight="1" x14ac:dyDescent="0.25">
      <c r="A357" s="9">
        <v>355</v>
      </c>
      <c r="B357" s="14" t="s">
        <v>967</v>
      </c>
      <c r="C357" s="14" t="s">
        <v>968</v>
      </c>
      <c r="D357" s="9" t="s">
        <v>36</v>
      </c>
      <c r="E357" s="15" t="str">
        <f t="shared" si="6"/>
        <v>Clorazepate</v>
      </c>
      <c r="F357" s="12">
        <f>DATE(2017,1,25)</f>
        <v>42760</v>
      </c>
      <c r="G357" s="13">
        <v>1972</v>
      </c>
      <c r="H357" s="13">
        <v>1</v>
      </c>
      <c r="I357" s="11" t="s">
        <v>100</v>
      </c>
      <c r="J357" s="15" t="s">
        <v>204</v>
      </c>
    </row>
    <row r="358" spans="1:10" s="14" customFormat="1" ht="12" customHeight="1" x14ac:dyDescent="0.25">
      <c r="A358" s="9">
        <v>356</v>
      </c>
      <c r="B358" s="14" t="s">
        <v>969</v>
      </c>
      <c r="C358" s="14" t="s">
        <v>970</v>
      </c>
      <c r="D358" s="9" t="s">
        <v>31</v>
      </c>
      <c r="E358" s="15" t="str">
        <f t="shared" si="6"/>
        <v>Clotrimazole</v>
      </c>
      <c r="F358" s="12">
        <f>DATE(2019,1,15)</f>
        <v>43480</v>
      </c>
      <c r="G358" s="13">
        <v>1975</v>
      </c>
      <c r="H358" s="13">
        <v>1</v>
      </c>
      <c r="I358" s="11" t="s">
        <v>15</v>
      </c>
      <c r="J358" s="15" t="s">
        <v>271</v>
      </c>
    </row>
    <row r="359" spans="1:10" s="14" customFormat="1" ht="12" customHeight="1" x14ac:dyDescent="0.25">
      <c r="A359" s="9">
        <v>357</v>
      </c>
      <c r="B359" s="14" t="s">
        <v>971</v>
      </c>
      <c r="C359" s="14" t="s">
        <v>972</v>
      </c>
      <c r="D359" s="9" t="s">
        <v>44</v>
      </c>
      <c r="E359" s="15" t="s">
        <v>973</v>
      </c>
      <c r="F359" s="12">
        <f>DATE(2020,10,20)</f>
        <v>44124</v>
      </c>
      <c r="G359" s="13" t="s">
        <v>63</v>
      </c>
      <c r="H359" s="13">
        <v>1</v>
      </c>
      <c r="I359" s="11" t="s">
        <v>15</v>
      </c>
      <c r="J359" s="15" t="s">
        <v>225</v>
      </c>
    </row>
    <row r="360" spans="1:10" s="14" customFormat="1" ht="12" customHeight="1" x14ac:dyDescent="0.25">
      <c r="A360" s="9">
        <v>358</v>
      </c>
      <c r="B360" s="14" t="s">
        <v>974</v>
      </c>
      <c r="C360" s="14" t="s">
        <v>975</v>
      </c>
      <c r="D360" s="9" t="s">
        <v>166</v>
      </c>
      <c r="E360" s="15" t="str">
        <f>B360</f>
        <v>Clozapine</v>
      </c>
      <c r="F360" s="12">
        <f>DATE(2023,6,5)</f>
        <v>45082</v>
      </c>
      <c r="G360" s="13">
        <v>1989</v>
      </c>
      <c r="H360" s="13">
        <v>1</v>
      </c>
      <c r="I360" s="11" t="s">
        <v>100</v>
      </c>
      <c r="J360" s="15" t="s">
        <v>328</v>
      </c>
    </row>
    <row r="361" spans="1:10" s="14" customFormat="1" ht="12" customHeight="1" x14ac:dyDescent="0.25">
      <c r="A361" s="9">
        <v>359</v>
      </c>
      <c r="B361" s="14" t="s">
        <v>976</v>
      </c>
      <c r="C361" s="14" t="s">
        <v>977</v>
      </c>
      <c r="D361" s="9" t="s">
        <v>23</v>
      </c>
      <c r="E361" s="15" t="s">
        <v>978</v>
      </c>
      <c r="F361" s="12">
        <f>DATE(2017,10,26)</f>
        <v>43034</v>
      </c>
      <c r="G361" s="13">
        <v>2012</v>
      </c>
      <c r="H361" s="13">
        <v>1</v>
      </c>
      <c r="I361" s="11" t="s">
        <v>15</v>
      </c>
      <c r="J361" s="15" t="s">
        <v>16</v>
      </c>
    </row>
    <row r="362" spans="1:10" s="14" customFormat="1" ht="12" customHeight="1" x14ac:dyDescent="0.25">
      <c r="A362" s="9">
        <v>360</v>
      </c>
      <c r="B362" s="14" t="s">
        <v>979</v>
      </c>
      <c r="C362" s="14" t="s">
        <v>980</v>
      </c>
      <c r="D362" s="9" t="s">
        <v>36</v>
      </c>
      <c r="E362" s="15" t="str">
        <f>B362</f>
        <v>Cobimetnib</v>
      </c>
      <c r="F362" s="12">
        <f>DATE(2017,3,8)</f>
        <v>42802</v>
      </c>
      <c r="G362" s="13">
        <v>2015</v>
      </c>
      <c r="H362" s="13">
        <v>1</v>
      </c>
      <c r="I362" s="11" t="s">
        <v>24</v>
      </c>
      <c r="J362" s="15" t="s">
        <v>570</v>
      </c>
    </row>
    <row r="363" spans="1:10" s="14" customFormat="1" ht="12" customHeight="1" x14ac:dyDescent="0.25">
      <c r="A363" s="9">
        <v>361</v>
      </c>
      <c r="B363" s="14" t="s">
        <v>981</v>
      </c>
      <c r="C363" s="14" t="s">
        <v>188</v>
      </c>
      <c r="D363" s="9" t="s">
        <v>53</v>
      </c>
      <c r="E363" s="15" t="str">
        <f>B363</f>
        <v>Cocaine</v>
      </c>
      <c r="F363" s="12">
        <f>DATE(2017,10,26)</f>
        <v>43034</v>
      </c>
      <c r="G363" s="13" t="s">
        <v>174</v>
      </c>
      <c r="H363" s="13">
        <v>1</v>
      </c>
      <c r="I363" s="11" t="s">
        <v>100</v>
      </c>
      <c r="J363" s="15" t="s">
        <v>268</v>
      </c>
    </row>
    <row r="364" spans="1:10" s="14" customFormat="1" ht="12" customHeight="1" x14ac:dyDescent="0.25">
      <c r="A364" s="9">
        <v>362</v>
      </c>
      <c r="B364" s="14" t="s">
        <v>982</v>
      </c>
      <c r="C364" s="14" t="s">
        <v>983</v>
      </c>
      <c r="D364" s="9" t="s">
        <v>31</v>
      </c>
      <c r="E364" s="15" t="str">
        <f>B364</f>
        <v>Codeine</v>
      </c>
      <c r="F364" s="12">
        <f>DATE(2017,10,26)</f>
        <v>43034</v>
      </c>
      <c r="G364" s="13" t="s">
        <v>63</v>
      </c>
      <c r="H364" s="13">
        <v>1</v>
      </c>
      <c r="I364" s="11" t="s">
        <v>54</v>
      </c>
      <c r="J364" s="15" t="s">
        <v>984</v>
      </c>
    </row>
    <row r="365" spans="1:10" s="14" customFormat="1" ht="12" customHeight="1" x14ac:dyDescent="0.25">
      <c r="A365" s="9">
        <v>363</v>
      </c>
      <c r="B365" s="14" t="s">
        <v>985</v>
      </c>
      <c r="C365" s="14" t="s">
        <v>986</v>
      </c>
      <c r="D365" s="9" t="s">
        <v>31</v>
      </c>
      <c r="E365" s="15" t="s">
        <v>985</v>
      </c>
      <c r="F365" s="12">
        <f>DATE(2024,4,20)</f>
        <v>45402</v>
      </c>
      <c r="G365" s="13" t="s">
        <v>174</v>
      </c>
      <c r="H365" s="13">
        <v>1</v>
      </c>
      <c r="I365" s="11" t="s">
        <v>190</v>
      </c>
      <c r="J365" s="15" t="s">
        <v>198</v>
      </c>
    </row>
    <row r="366" spans="1:10" s="14" customFormat="1" ht="12" customHeight="1" x14ac:dyDescent="0.25">
      <c r="A366" s="9">
        <v>364</v>
      </c>
      <c r="B366" s="14" t="s">
        <v>987</v>
      </c>
      <c r="C366" s="14" t="s">
        <v>988</v>
      </c>
      <c r="D366" s="13" t="s">
        <v>31</v>
      </c>
      <c r="E366" s="15" t="str">
        <f>B366</f>
        <v>Colchicine</v>
      </c>
      <c r="F366" s="12">
        <f>DATE(2017,10,26)</f>
        <v>43034</v>
      </c>
      <c r="G366" s="13">
        <v>1961</v>
      </c>
      <c r="H366" s="13">
        <v>1</v>
      </c>
      <c r="I366" s="11" t="s">
        <v>19</v>
      </c>
      <c r="J366" s="15" t="s">
        <v>167</v>
      </c>
    </row>
    <row r="367" spans="1:10" s="14" customFormat="1" ht="12" customHeight="1" x14ac:dyDescent="0.25">
      <c r="A367" s="9">
        <v>365</v>
      </c>
      <c r="B367" s="14" t="s">
        <v>989</v>
      </c>
      <c r="C367" s="14" t="s">
        <v>990</v>
      </c>
      <c r="D367" s="9" t="s">
        <v>31</v>
      </c>
      <c r="E367" s="15" t="str">
        <f>B367</f>
        <v>Colesevelam</v>
      </c>
      <c r="F367" s="12">
        <f>DATE(2017,9,29)</f>
        <v>43007</v>
      </c>
      <c r="G367" s="13">
        <v>2000</v>
      </c>
      <c r="H367" s="13">
        <v>1</v>
      </c>
      <c r="I367" s="11" t="s">
        <v>49</v>
      </c>
      <c r="J367" s="15" t="s">
        <v>161</v>
      </c>
    </row>
    <row r="368" spans="1:10" s="14" customFormat="1" ht="12" customHeight="1" x14ac:dyDescent="0.25">
      <c r="A368" s="9">
        <v>366</v>
      </c>
      <c r="B368" s="14" t="s">
        <v>991</v>
      </c>
      <c r="C368" s="14" t="s">
        <v>992</v>
      </c>
      <c r="D368" s="9" t="s">
        <v>31</v>
      </c>
      <c r="E368" s="15" t="str">
        <f>B368</f>
        <v>Colestipol</v>
      </c>
      <c r="F368" s="12">
        <f>DATE(2017,9,29)</f>
        <v>43007</v>
      </c>
      <c r="G368" s="13">
        <v>1977</v>
      </c>
      <c r="H368" s="13">
        <v>1</v>
      </c>
      <c r="I368" s="11" t="s">
        <v>49</v>
      </c>
      <c r="J368" s="15" t="s">
        <v>161</v>
      </c>
    </row>
    <row r="369" spans="1:35" s="14" customFormat="1" ht="12" customHeight="1" x14ac:dyDescent="0.25">
      <c r="A369" s="9">
        <v>367</v>
      </c>
      <c r="B369" s="14" t="s">
        <v>993</v>
      </c>
      <c r="C369" s="14" t="s">
        <v>188</v>
      </c>
      <c r="D369" s="9" t="s">
        <v>14</v>
      </c>
      <c r="E369" s="15" t="str">
        <f>B369</f>
        <v>Comfrey</v>
      </c>
      <c r="F369" s="12">
        <f>DATE(2022,5,25)</f>
        <v>44706</v>
      </c>
      <c r="G369" s="13" t="s">
        <v>174</v>
      </c>
      <c r="H369" s="13">
        <v>1</v>
      </c>
      <c r="I369" s="11" t="s">
        <v>175</v>
      </c>
      <c r="J369" s="15" t="s">
        <v>55</v>
      </c>
    </row>
    <row r="370" spans="1:35" s="14" customFormat="1" ht="12" customHeight="1" x14ac:dyDescent="0.25">
      <c r="A370" s="9">
        <v>368</v>
      </c>
      <c r="B370" s="14" t="s">
        <v>994</v>
      </c>
      <c r="C370" s="14" t="s">
        <v>995</v>
      </c>
      <c r="D370" s="9" t="s">
        <v>77</v>
      </c>
      <c r="E370" s="14" t="s">
        <v>994</v>
      </c>
      <c r="F370" s="12"/>
      <c r="G370" s="13">
        <v>2024</v>
      </c>
      <c r="H370" s="13">
        <v>0</v>
      </c>
      <c r="I370" s="10" t="s">
        <v>230</v>
      </c>
      <c r="J370" s="14" t="s">
        <v>996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s="14" customFormat="1" ht="12" customHeight="1" x14ac:dyDescent="0.25">
      <c r="A371" s="9">
        <v>369</v>
      </c>
      <c r="B371" s="14" t="s">
        <v>997</v>
      </c>
      <c r="C371" s="14" t="s">
        <v>998</v>
      </c>
      <c r="D371" s="9" t="s">
        <v>23</v>
      </c>
      <c r="E371" s="15" t="str">
        <f>B371</f>
        <v>Copanlisib</v>
      </c>
      <c r="F371" s="12">
        <f>DATE(2018,10,20)</f>
        <v>43393</v>
      </c>
      <c r="G371" s="13">
        <v>2017</v>
      </c>
      <c r="H371" s="13">
        <v>1</v>
      </c>
      <c r="I371" s="11" t="s">
        <v>24</v>
      </c>
      <c r="J371" s="15" t="s">
        <v>487</v>
      </c>
    </row>
    <row r="372" spans="1:35" s="14" customFormat="1" ht="12" customHeight="1" x14ac:dyDescent="0.25">
      <c r="A372" s="9">
        <v>370</v>
      </c>
      <c r="B372" s="14" t="s">
        <v>999</v>
      </c>
      <c r="C372" s="14" t="s">
        <v>1000</v>
      </c>
      <c r="D372" s="9" t="s">
        <v>53</v>
      </c>
      <c r="E372" s="15" t="str">
        <f>B372</f>
        <v xml:space="preserve">Copper </v>
      </c>
      <c r="F372" s="12">
        <f>DATE(2017,10,26)</f>
        <v>43034</v>
      </c>
      <c r="G372" s="13" t="s">
        <v>174</v>
      </c>
      <c r="H372" s="13">
        <v>1</v>
      </c>
      <c r="I372" s="11" t="s">
        <v>190</v>
      </c>
      <c r="J372" s="15" t="s">
        <v>198</v>
      </c>
    </row>
    <row r="373" spans="1:35" s="14" customFormat="1" ht="12" customHeight="1" x14ac:dyDescent="0.25">
      <c r="A373" s="9">
        <v>371</v>
      </c>
      <c r="B373" s="15" t="s">
        <v>1001</v>
      </c>
      <c r="C373" s="15" t="s">
        <v>1002</v>
      </c>
      <c r="D373" s="9" t="s">
        <v>31</v>
      </c>
      <c r="E373" s="14" t="s">
        <v>1001</v>
      </c>
      <c r="F373" s="12">
        <f>DATE(2025,6,16)</f>
        <v>45824</v>
      </c>
      <c r="G373" s="13" t="s">
        <v>174</v>
      </c>
      <c r="H373" s="13">
        <v>1</v>
      </c>
      <c r="I373" s="11" t="s">
        <v>175</v>
      </c>
      <c r="J373" s="13" t="s">
        <v>771</v>
      </c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</row>
    <row r="374" spans="1:35" s="14" customFormat="1" ht="12" customHeight="1" x14ac:dyDescent="0.25">
      <c r="A374" s="9">
        <v>372</v>
      </c>
      <c r="B374" s="15" t="s">
        <v>1001</v>
      </c>
      <c r="C374" s="14" t="s">
        <v>188</v>
      </c>
      <c r="D374" s="9" t="s">
        <v>31</v>
      </c>
      <c r="E374" s="15" t="s">
        <v>1001</v>
      </c>
      <c r="F374" s="12">
        <f>DATE(2025,6,16)</f>
        <v>45824</v>
      </c>
      <c r="G374" s="13" t="s">
        <v>174</v>
      </c>
      <c r="H374" s="13">
        <v>1</v>
      </c>
      <c r="I374" s="11" t="s">
        <v>1003</v>
      </c>
      <c r="J374" s="15" t="s">
        <v>1004</v>
      </c>
      <c r="K374" s="13"/>
    </row>
    <row r="375" spans="1:35" s="14" customFormat="1" ht="12" customHeight="1" x14ac:dyDescent="0.25">
      <c r="A375" s="9">
        <v>373</v>
      </c>
      <c r="B375" s="14" t="s">
        <v>1005</v>
      </c>
      <c r="C375" s="14" t="s">
        <v>1006</v>
      </c>
      <c r="D375" s="9" t="s">
        <v>31</v>
      </c>
      <c r="E375" s="15" t="s">
        <v>536</v>
      </c>
      <c r="F375" s="12">
        <f>DATE(2021,5,5)</f>
        <v>44321</v>
      </c>
      <c r="G375" s="13">
        <v>1950</v>
      </c>
      <c r="H375" s="13">
        <v>1</v>
      </c>
      <c r="I375" s="11" t="s">
        <v>45</v>
      </c>
      <c r="J375" s="15" t="s">
        <v>291</v>
      </c>
    </row>
    <row r="376" spans="1:35" s="14" customFormat="1" ht="12" customHeight="1" x14ac:dyDescent="0.25">
      <c r="A376" s="9">
        <v>374</v>
      </c>
      <c r="B376" s="14" t="s">
        <v>1007</v>
      </c>
      <c r="C376" s="14" t="s">
        <v>1008</v>
      </c>
      <c r="D376" s="9" t="s">
        <v>77</v>
      </c>
      <c r="E376" s="14" t="s">
        <v>1007</v>
      </c>
      <c r="F376" s="12"/>
      <c r="G376" s="13">
        <v>2024</v>
      </c>
      <c r="H376" s="13">
        <v>0</v>
      </c>
      <c r="I376" s="10" t="s">
        <v>24</v>
      </c>
      <c r="J376" s="14" t="s">
        <v>1009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s="14" customFormat="1" ht="12" customHeight="1" x14ac:dyDescent="0.25">
      <c r="A377" s="9">
        <v>375</v>
      </c>
      <c r="B377" s="14" t="s">
        <v>1010</v>
      </c>
      <c r="C377" s="14" t="s">
        <v>1011</v>
      </c>
      <c r="D377" s="9" t="s">
        <v>31</v>
      </c>
      <c r="E377" s="15" t="str">
        <f>B377</f>
        <v>COVID-19 Drugs</v>
      </c>
      <c r="F377" s="12">
        <f>DATE(2021,4,27)</f>
        <v>44313</v>
      </c>
      <c r="G377" s="13">
        <v>2021</v>
      </c>
      <c r="H377" s="13">
        <v>1</v>
      </c>
      <c r="I377" s="11" t="s">
        <v>15</v>
      </c>
      <c r="J377" s="15" t="s">
        <v>465</v>
      </c>
    </row>
    <row r="378" spans="1:35" s="14" customFormat="1" ht="12" customHeight="1" x14ac:dyDescent="0.25">
      <c r="A378" s="9">
        <v>376</v>
      </c>
      <c r="B378" s="14" t="s">
        <v>1012</v>
      </c>
      <c r="C378" s="14" t="s">
        <v>1013</v>
      </c>
      <c r="D378" s="9" t="s">
        <v>31</v>
      </c>
      <c r="E378" s="15" t="str">
        <f>B378</f>
        <v>COVID-19 Monoclonals</v>
      </c>
      <c r="F378" s="12">
        <f>DATE(2021,5,5)</f>
        <v>44321</v>
      </c>
      <c r="G378" s="13">
        <v>2021</v>
      </c>
      <c r="H378" s="13">
        <v>1</v>
      </c>
      <c r="I378" s="11" t="s">
        <v>15</v>
      </c>
      <c r="J378" s="15" t="s">
        <v>465</v>
      </c>
    </row>
    <row r="379" spans="1:35" s="14" customFormat="1" ht="12" customHeight="1" x14ac:dyDescent="0.25">
      <c r="A379" s="9">
        <v>377</v>
      </c>
      <c r="B379" s="14" t="s">
        <v>1014</v>
      </c>
      <c r="C379" s="14" t="s">
        <v>1015</v>
      </c>
      <c r="D379" s="9" t="s">
        <v>14</v>
      </c>
      <c r="E379" s="15" t="str">
        <f>B379</f>
        <v>COVID-19 Vaccines</v>
      </c>
      <c r="F379" s="12">
        <f>DATE(2021,10,25)</f>
        <v>44494</v>
      </c>
      <c r="G379" s="13">
        <v>2021</v>
      </c>
      <c r="H379" s="13">
        <v>1</v>
      </c>
      <c r="I379" s="11" t="s">
        <v>15</v>
      </c>
      <c r="J379" s="15" t="s">
        <v>465</v>
      </c>
    </row>
    <row r="380" spans="1:35" s="14" customFormat="1" ht="12" customHeight="1" x14ac:dyDescent="0.25">
      <c r="A380" s="9">
        <v>378</v>
      </c>
      <c r="B380" s="14" t="s">
        <v>1016</v>
      </c>
      <c r="C380" s="14" t="s">
        <v>1017</v>
      </c>
      <c r="D380" s="9" t="s">
        <v>31</v>
      </c>
      <c r="E380" s="15" t="s">
        <v>1018</v>
      </c>
      <c r="F380" s="12">
        <f>DATE(2023,1,24)</f>
        <v>44950</v>
      </c>
      <c r="G380" s="13" t="s">
        <v>174</v>
      </c>
      <c r="H380" s="13">
        <v>1</v>
      </c>
      <c r="I380" s="11" t="s">
        <v>175</v>
      </c>
      <c r="J380" s="15" t="s">
        <v>1019</v>
      </c>
    </row>
    <row r="381" spans="1:35" s="14" customFormat="1" ht="12" customHeight="1" x14ac:dyDescent="0.25">
      <c r="A381" s="9">
        <v>379</v>
      </c>
      <c r="B381" s="14" t="s">
        <v>1020</v>
      </c>
      <c r="C381" s="14" t="s">
        <v>1021</v>
      </c>
      <c r="D381" s="9" t="s">
        <v>31</v>
      </c>
      <c r="E381" s="14" t="s">
        <v>1020</v>
      </c>
      <c r="F381" s="12">
        <f>DATE(2025,2,20)</f>
        <v>45708</v>
      </c>
      <c r="G381" s="13">
        <v>2024</v>
      </c>
      <c r="H381" s="13">
        <v>1</v>
      </c>
      <c r="I381" s="10" t="s">
        <v>1022</v>
      </c>
      <c r="J381" s="14" t="s">
        <v>1023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s="14" customFormat="1" ht="12" customHeight="1" x14ac:dyDescent="0.25">
      <c r="A382" s="9">
        <v>380</v>
      </c>
      <c r="B382" s="14" t="s">
        <v>1024</v>
      </c>
      <c r="C382" s="14" t="s">
        <v>1025</v>
      </c>
      <c r="D382" s="9" t="s">
        <v>31</v>
      </c>
      <c r="E382" s="15" t="str">
        <f>B382</f>
        <v>Crizanlizumab</v>
      </c>
      <c r="F382" s="12">
        <f>DATE(2021,7,12)</f>
        <v>44389</v>
      </c>
      <c r="G382" s="13">
        <v>2019</v>
      </c>
      <c r="H382" s="13">
        <v>1</v>
      </c>
      <c r="I382" s="11" t="s">
        <v>230</v>
      </c>
      <c r="J382" s="15" t="s">
        <v>1026</v>
      </c>
    </row>
    <row r="383" spans="1:35" s="14" customFormat="1" ht="12" customHeight="1" x14ac:dyDescent="0.25">
      <c r="A383" s="9">
        <v>381</v>
      </c>
      <c r="B383" s="14" t="s">
        <v>1027</v>
      </c>
      <c r="C383" s="14" t="s">
        <v>1028</v>
      </c>
      <c r="D383" s="9" t="s">
        <v>14</v>
      </c>
      <c r="E383" s="15" t="str">
        <f>B383</f>
        <v>Crizotinib</v>
      </c>
      <c r="F383" s="12">
        <f>DATE(2017,11,3)</f>
        <v>43042</v>
      </c>
      <c r="G383" s="13">
        <v>2011</v>
      </c>
      <c r="H383" s="13">
        <v>1</v>
      </c>
      <c r="I383" s="11" t="s">
        <v>24</v>
      </c>
      <c r="J383" s="15" t="s">
        <v>207</v>
      </c>
    </row>
    <row r="384" spans="1:35" s="14" customFormat="1" ht="12" customHeight="1" x14ac:dyDescent="0.25">
      <c r="A384" s="9">
        <v>382</v>
      </c>
      <c r="B384" s="14" t="s">
        <v>1029</v>
      </c>
      <c r="C384" s="14" t="s">
        <v>1030</v>
      </c>
      <c r="D384" s="9" t="s">
        <v>31</v>
      </c>
      <c r="E384" s="15" t="str">
        <f>B384</f>
        <v>Crofelemer</v>
      </c>
      <c r="F384" s="12">
        <f>DATE(2017,11,3)</f>
        <v>43042</v>
      </c>
      <c r="G384" s="13">
        <v>2012</v>
      </c>
      <c r="H384" s="13">
        <v>1</v>
      </c>
      <c r="I384" s="11" t="s">
        <v>182</v>
      </c>
      <c r="J384" s="15" t="s">
        <v>397</v>
      </c>
    </row>
    <row r="385" spans="1:35" s="14" customFormat="1" ht="12" customHeight="1" x14ac:dyDescent="0.25">
      <c r="A385" s="9">
        <v>383</v>
      </c>
      <c r="B385" s="14" t="s">
        <v>1031</v>
      </c>
      <c r="C385" s="14" t="s">
        <v>1032</v>
      </c>
      <c r="D385" s="9" t="s">
        <v>31</v>
      </c>
      <c r="E385" s="15" t="s">
        <v>1033</v>
      </c>
      <c r="F385" s="12"/>
      <c r="G385" s="13">
        <v>1984</v>
      </c>
      <c r="H385" s="13">
        <v>0</v>
      </c>
      <c r="I385" s="11" t="s">
        <v>73</v>
      </c>
      <c r="J385" s="15" t="s">
        <v>128</v>
      </c>
    </row>
    <row r="386" spans="1:35" s="14" customFormat="1" ht="12" customHeight="1" x14ac:dyDescent="0.25">
      <c r="A386" s="9">
        <v>384</v>
      </c>
      <c r="B386" s="14" t="s">
        <v>1034</v>
      </c>
      <c r="C386" s="14" t="s">
        <v>1035</v>
      </c>
      <c r="D386" s="9" t="s">
        <v>77</v>
      </c>
      <c r="E386" s="14" t="s">
        <v>1034</v>
      </c>
      <c r="F386" s="12"/>
      <c r="G386" s="13">
        <v>2024</v>
      </c>
      <c r="H386" s="13">
        <v>0</v>
      </c>
      <c r="I386" s="10" t="s">
        <v>230</v>
      </c>
      <c r="J386" s="14" t="s">
        <v>1036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s="14" customFormat="1" ht="12" customHeight="1" x14ac:dyDescent="0.25">
      <c r="A387" s="9">
        <v>385</v>
      </c>
      <c r="B387" s="14" t="s">
        <v>1037</v>
      </c>
      <c r="C387" s="14" t="s">
        <v>1038</v>
      </c>
      <c r="D387" s="9" t="s">
        <v>31</v>
      </c>
      <c r="E387" s="15" t="s">
        <v>573</v>
      </c>
      <c r="F387" s="12">
        <f>DATE(2021,5,23)</f>
        <v>44339</v>
      </c>
      <c r="G387" s="13" t="s">
        <v>174</v>
      </c>
      <c r="H387" s="13">
        <v>1</v>
      </c>
      <c r="I387" s="11" t="s">
        <v>190</v>
      </c>
      <c r="J387" s="15" t="s">
        <v>198</v>
      </c>
    </row>
    <row r="388" spans="1:35" s="14" customFormat="1" ht="12" customHeight="1" x14ac:dyDescent="0.25">
      <c r="A388" s="9">
        <v>386</v>
      </c>
      <c r="B388" s="14" t="s">
        <v>870</v>
      </c>
      <c r="C388" s="14" t="s">
        <v>1039</v>
      </c>
      <c r="D388" s="9" t="s">
        <v>31</v>
      </c>
      <c r="E388" s="15" t="str">
        <f t="shared" ref="E388:E403" si="7">B388</f>
        <v>Cyclizine</v>
      </c>
      <c r="F388" s="12">
        <f>DATE(2017,1,17)</f>
        <v>42752</v>
      </c>
      <c r="G388" s="13" t="s">
        <v>63</v>
      </c>
      <c r="H388" s="13">
        <v>1</v>
      </c>
      <c r="I388" s="11" t="s">
        <v>73</v>
      </c>
      <c r="J388" s="15" t="s">
        <v>85</v>
      </c>
    </row>
    <row r="389" spans="1:35" s="14" customFormat="1" ht="12" customHeight="1" x14ac:dyDescent="0.25">
      <c r="A389" s="9">
        <v>387</v>
      </c>
      <c r="B389" s="14" t="s">
        <v>1040</v>
      </c>
      <c r="C389" s="14" t="s">
        <v>1041</v>
      </c>
      <c r="D389" s="9" t="s">
        <v>23</v>
      </c>
      <c r="E389" s="15" t="str">
        <f t="shared" si="7"/>
        <v>Cyclobenzaprine</v>
      </c>
      <c r="F389" s="12">
        <f>DATE(2017,1,30)</f>
        <v>42765</v>
      </c>
      <c r="G389" s="13">
        <v>1977</v>
      </c>
      <c r="H389" s="13">
        <v>1</v>
      </c>
      <c r="I389" s="11" t="s">
        <v>100</v>
      </c>
      <c r="J389" s="15" t="s">
        <v>451</v>
      </c>
    </row>
    <row r="390" spans="1:35" s="14" customFormat="1" ht="12" customHeight="1" x14ac:dyDescent="0.25">
      <c r="A390" s="9">
        <v>388</v>
      </c>
      <c r="B390" s="14" t="s">
        <v>1042</v>
      </c>
      <c r="C390" s="14" t="s">
        <v>1043</v>
      </c>
      <c r="D390" s="9" t="s">
        <v>44</v>
      </c>
      <c r="E390" s="15" t="str">
        <f t="shared" si="7"/>
        <v>Cyclophosphamide</v>
      </c>
      <c r="F390" s="12">
        <f>DATE(2017,11,4)</f>
        <v>43043</v>
      </c>
      <c r="G390" s="13">
        <v>1959</v>
      </c>
      <c r="H390" s="13">
        <v>1</v>
      </c>
      <c r="I390" s="11" t="s">
        <v>24</v>
      </c>
      <c r="J390" s="15" t="s">
        <v>357</v>
      </c>
    </row>
    <row r="391" spans="1:35" s="14" customFormat="1" ht="12" customHeight="1" x14ac:dyDescent="0.25">
      <c r="A391" s="9">
        <v>389</v>
      </c>
      <c r="B391" s="14" t="s">
        <v>1044</v>
      </c>
      <c r="C391" s="14" t="s">
        <v>1045</v>
      </c>
      <c r="D391" s="9" t="s">
        <v>23</v>
      </c>
      <c r="E391" s="15" t="str">
        <f t="shared" si="7"/>
        <v>Cycloserine</v>
      </c>
      <c r="F391" s="12">
        <f>DATE(2017,11,3)</f>
        <v>43042</v>
      </c>
      <c r="G391" s="13">
        <v>1964</v>
      </c>
      <c r="H391" s="13">
        <v>1</v>
      </c>
      <c r="I391" s="11" t="s">
        <v>15</v>
      </c>
      <c r="J391" s="15" t="s">
        <v>241</v>
      </c>
    </row>
    <row r="392" spans="1:35" s="14" customFormat="1" ht="12" customHeight="1" x14ac:dyDescent="0.25">
      <c r="A392" s="9">
        <v>390</v>
      </c>
      <c r="B392" s="14" t="s">
        <v>1046</v>
      </c>
      <c r="C392" s="14" t="s">
        <v>1047</v>
      </c>
      <c r="D392" s="9" t="s">
        <v>14</v>
      </c>
      <c r="E392" s="15" t="str">
        <f t="shared" si="7"/>
        <v>Cyclosporine</v>
      </c>
      <c r="F392" s="12">
        <f>DATE(2020,2,18)</f>
        <v>43879</v>
      </c>
      <c r="G392" s="13">
        <v>2003</v>
      </c>
      <c r="H392" s="13">
        <v>1</v>
      </c>
      <c r="I392" s="11" t="s">
        <v>139</v>
      </c>
      <c r="J392" s="15" t="s">
        <v>140</v>
      </c>
    </row>
    <row r="393" spans="1:35" s="14" customFormat="1" ht="12" customHeight="1" x14ac:dyDescent="0.25">
      <c r="A393" s="9">
        <v>391</v>
      </c>
      <c r="B393" s="14" t="s">
        <v>1048</v>
      </c>
      <c r="C393" s="14" t="s">
        <v>1049</v>
      </c>
      <c r="D393" s="9" t="s">
        <v>14</v>
      </c>
      <c r="E393" s="15" t="str">
        <f t="shared" si="7"/>
        <v>Cyproheptadine</v>
      </c>
      <c r="F393" s="12">
        <f>DATE(2017,1,17)</f>
        <v>42752</v>
      </c>
      <c r="G393" s="13">
        <v>1961</v>
      </c>
      <c r="H393" s="13">
        <v>1</v>
      </c>
      <c r="I393" s="11" t="s">
        <v>73</v>
      </c>
      <c r="J393" s="15" t="s">
        <v>85</v>
      </c>
    </row>
    <row r="394" spans="1:35" s="14" customFormat="1" ht="12" customHeight="1" x14ac:dyDescent="0.25">
      <c r="A394" s="9">
        <v>392</v>
      </c>
      <c r="B394" s="14" t="s">
        <v>1050</v>
      </c>
      <c r="C394" s="14" t="s">
        <v>1051</v>
      </c>
      <c r="D394" s="9" t="s">
        <v>44</v>
      </c>
      <c r="E394" s="15" t="str">
        <f t="shared" si="7"/>
        <v>Cyproterone</v>
      </c>
      <c r="F394" s="12">
        <f>DATE(2017,7,5)</f>
        <v>42921</v>
      </c>
      <c r="G394" s="13" t="s">
        <v>512</v>
      </c>
      <c r="H394" s="13">
        <v>1</v>
      </c>
      <c r="I394" s="11" t="s">
        <v>24</v>
      </c>
      <c r="J394" s="15" t="s">
        <v>28</v>
      </c>
    </row>
    <row r="395" spans="1:35" s="14" customFormat="1" ht="12" customHeight="1" x14ac:dyDescent="0.25">
      <c r="A395" s="9">
        <v>393</v>
      </c>
      <c r="B395" s="14" t="s">
        <v>1052</v>
      </c>
      <c r="C395" s="14" t="s">
        <v>1053</v>
      </c>
      <c r="D395" s="9" t="s">
        <v>894</v>
      </c>
      <c r="E395" s="15" t="str">
        <f t="shared" si="7"/>
        <v>Cysteamine</v>
      </c>
      <c r="F395" s="12">
        <f>DATE(2017,11,3)</f>
        <v>43042</v>
      </c>
      <c r="G395" s="13">
        <v>1994</v>
      </c>
      <c r="H395" s="13">
        <v>1</v>
      </c>
      <c r="I395" s="11" t="s">
        <v>104</v>
      </c>
      <c r="J395" s="15" t="s">
        <v>1054</v>
      </c>
    </row>
    <row r="396" spans="1:35" s="14" customFormat="1" ht="12" customHeight="1" x14ac:dyDescent="0.25">
      <c r="A396" s="9">
        <v>394</v>
      </c>
      <c r="B396" s="14" t="s">
        <v>1055</v>
      </c>
      <c r="C396" s="14" t="s">
        <v>1056</v>
      </c>
      <c r="D396" s="9" t="s">
        <v>14</v>
      </c>
      <c r="E396" s="15" t="str">
        <f t="shared" si="7"/>
        <v>Cytarabine</v>
      </c>
      <c r="F396" s="12">
        <f>DATE(2017,11,3)</f>
        <v>43042</v>
      </c>
      <c r="G396" s="13">
        <v>1969</v>
      </c>
      <c r="H396" s="13">
        <v>1</v>
      </c>
      <c r="I396" s="11" t="s">
        <v>24</v>
      </c>
      <c r="J396" s="28" t="s">
        <v>504</v>
      </c>
    </row>
    <row r="397" spans="1:35" s="10" customFormat="1" ht="12" customHeight="1" x14ac:dyDescent="0.25">
      <c r="A397" s="9">
        <v>395</v>
      </c>
      <c r="B397" s="10" t="s">
        <v>1057</v>
      </c>
      <c r="C397" s="10" t="s">
        <v>1058</v>
      </c>
      <c r="D397" s="9" t="s">
        <v>36</v>
      </c>
      <c r="E397" s="15" t="str">
        <f t="shared" si="7"/>
        <v xml:space="preserve">Dabigatran </v>
      </c>
      <c r="F397" s="12">
        <f>DATE(2017,11,5)</f>
        <v>43044</v>
      </c>
      <c r="G397" s="9">
        <v>2010</v>
      </c>
      <c r="H397" s="9">
        <v>1</v>
      </c>
      <c r="I397" s="11" t="s">
        <v>230</v>
      </c>
      <c r="J397" s="11" t="s">
        <v>308</v>
      </c>
    </row>
    <row r="398" spans="1:35" s="14" customFormat="1" ht="12" customHeight="1" x14ac:dyDescent="0.25">
      <c r="A398" s="9">
        <v>396</v>
      </c>
      <c r="B398" s="14" t="s">
        <v>1059</v>
      </c>
      <c r="C398" s="14" t="s">
        <v>1060</v>
      </c>
      <c r="D398" s="9" t="s">
        <v>23</v>
      </c>
      <c r="E398" s="15" t="str">
        <f t="shared" si="7"/>
        <v>Dabrafenib</v>
      </c>
      <c r="F398" s="12">
        <f>DATE(2018,6,28)</f>
        <v>43279</v>
      </c>
      <c r="G398" s="13">
        <v>2013</v>
      </c>
      <c r="H398" s="13">
        <v>1</v>
      </c>
      <c r="I398" s="11" t="s">
        <v>24</v>
      </c>
      <c r="J398" s="15" t="s">
        <v>570</v>
      </c>
    </row>
    <row r="399" spans="1:35" s="14" customFormat="1" ht="12" customHeight="1" x14ac:dyDescent="0.25">
      <c r="A399" s="9">
        <v>397</v>
      </c>
      <c r="B399" s="14" t="s">
        <v>1061</v>
      </c>
      <c r="C399" s="14" t="s">
        <v>1062</v>
      </c>
      <c r="D399" s="9" t="s">
        <v>44</v>
      </c>
      <c r="E399" s="15" t="str">
        <f t="shared" si="7"/>
        <v>Dacarbazine</v>
      </c>
      <c r="F399" s="12">
        <f>DATE(2017,11,5)</f>
        <v>43044</v>
      </c>
      <c r="G399" s="13">
        <v>1975</v>
      </c>
      <c r="H399" s="13">
        <v>1</v>
      </c>
      <c r="I399" s="11" t="s">
        <v>24</v>
      </c>
      <c r="J399" s="15" t="s">
        <v>132</v>
      </c>
    </row>
    <row r="400" spans="1:35" s="14" customFormat="1" ht="12" customHeight="1" x14ac:dyDescent="0.25">
      <c r="A400" s="9">
        <v>398</v>
      </c>
      <c r="B400" s="14" t="s">
        <v>1063</v>
      </c>
      <c r="C400" s="14" t="s">
        <v>1064</v>
      </c>
      <c r="D400" s="9" t="s">
        <v>14</v>
      </c>
      <c r="E400" s="15" t="str">
        <f t="shared" si="7"/>
        <v>Daclatasvir</v>
      </c>
      <c r="F400" s="12">
        <f>DATE(2022,2,7)</f>
        <v>44599</v>
      </c>
      <c r="G400" s="13">
        <v>2015</v>
      </c>
      <c r="H400" s="13">
        <v>1</v>
      </c>
      <c r="I400" s="11" t="s">
        <v>15</v>
      </c>
      <c r="J400" s="15" t="s">
        <v>366</v>
      </c>
    </row>
    <row r="401" spans="1:35" s="14" customFormat="1" ht="12" customHeight="1" x14ac:dyDescent="0.25">
      <c r="A401" s="9">
        <v>399</v>
      </c>
      <c r="B401" s="14" t="s">
        <v>1065</v>
      </c>
      <c r="C401" s="14" t="s">
        <v>1066</v>
      </c>
      <c r="D401" s="9" t="s">
        <v>14</v>
      </c>
      <c r="E401" s="15" t="str">
        <f t="shared" si="7"/>
        <v>Daclizumab</v>
      </c>
      <c r="F401" s="12">
        <f>DATE(2025,12,12)</f>
        <v>46003</v>
      </c>
      <c r="G401" s="13">
        <v>1997</v>
      </c>
      <c r="H401" s="13">
        <v>1</v>
      </c>
      <c r="I401" s="11" t="s">
        <v>139</v>
      </c>
      <c r="J401" s="15" t="s">
        <v>140</v>
      </c>
    </row>
    <row r="402" spans="1:35" s="14" customFormat="1" ht="12" customHeight="1" x14ac:dyDescent="0.3">
      <c r="A402" s="9">
        <v>400</v>
      </c>
      <c r="B402" s="14" t="s">
        <v>1067</v>
      </c>
      <c r="C402" s="23" t="s">
        <v>1068</v>
      </c>
      <c r="D402" s="9" t="s">
        <v>23</v>
      </c>
      <c r="E402" s="15" t="str">
        <f t="shared" si="7"/>
        <v>Dacomitinib</v>
      </c>
      <c r="F402" s="12">
        <f>DATE(2019,1,24)</f>
        <v>43489</v>
      </c>
      <c r="G402" s="13">
        <v>2018</v>
      </c>
      <c r="H402" s="13">
        <v>1</v>
      </c>
      <c r="I402" s="11" t="s">
        <v>24</v>
      </c>
      <c r="J402" s="15" t="s">
        <v>624</v>
      </c>
    </row>
    <row r="403" spans="1:35" s="14" customFormat="1" ht="12" customHeight="1" x14ac:dyDescent="0.25">
      <c r="A403" s="9">
        <v>401</v>
      </c>
      <c r="B403" s="14" t="s">
        <v>1069</v>
      </c>
      <c r="C403" s="14" t="s">
        <v>1070</v>
      </c>
      <c r="D403" s="9" t="s">
        <v>14</v>
      </c>
      <c r="E403" s="15" t="str">
        <f t="shared" si="7"/>
        <v>Dactinomycin</v>
      </c>
      <c r="F403" s="12">
        <f>DATE(2017,12,4)</f>
        <v>43073</v>
      </c>
      <c r="G403" s="13">
        <v>1964</v>
      </c>
      <c r="H403" s="13">
        <v>1</v>
      </c>
      <c r="I403" s="11" t="s">
        <v>24</v>
      </c>
      <c r="J403" s="15" t="s">
        <v>207</v>
      </c>
    </row>
    <row r="404" spans="1:35" s="14" customFormat="1" ht="12" customHeight="1" x14ac:dyDescent="0.25">
      <c r="A404" s="9">
        <v>402</v>
      </c>
      <c r="B404" s="14" t="s">
        <v>1071</v>
      </c>
      <c r="C404" s="14" t="s">
        <v>1072</v>
      </c>
      <c r="D404" s="9" t="s">
        <v>31</v>
      </c>
      <c r="E404" s="15" t="s">
        <v>1073</v>
      </c>
      <c r="F404" s="12">
        <f>DATE(2017,11,5)</f>
        <v>43044</v>
      </c>
      <c r="G404" s="13">
        <v>2014</v>
      </c>
      <c r="H404" s="13">
        <v>1</v>
      </c>
      <c r="I404" s="11" t="s">
        <v>15</v>
      </c>
      <c r="J404" s="15" t="s">
        <v>225</v>
      </c>
    </row>
    <row r="405" spans="1:35" s="14" customFormat="1" ht="12" customHeight="1" x14ac:dyDescent="0.25">
      <c r="A405" s="9">
        <v>403</v>
      </c>
      <c r="B405" s="14" t="s">
        <v>1074</v>
      </c>
      <c r="C405" s="14" t="s">
        <v>1075</v>
      </c>
      <c r="D405" s="9" t="s">
        <v>23</v>
      </c>
      <c r="E405" s="15" t="str">
        <f>B405</f>
        <v>Dalfampridine</v>
      </c>
      <c r="F405" s="12">
        <f>DATE(2025,12,10)</f>
        <v>46001</v>
      </c>
      <c r="G405" s="13">
        <v>2010</v>
      </c>
      <c r="H405" s="13">
        <v>1</v>
      </c>
      <c r="I405" s="11" t="s">
        <v>100</v>
      </c>
      <c r="J405" s="15" t="s">
        <v>1076</v>
      </c>
    </row>
    <row r="406" spans="1:35" s="14" customFormat="1" ht="12" customHeight="1" x14ac:dyDescent="0.25">
      <c r="A406" s="9">
        <v>404</v>
      </c>
      <c r="B406" s="14" t="s">
        <v>1077</v>
      </c>
      <c r="C406" s="14" t="s">
        <v>1078</v>
      </c>
      <c r="D406" s="9" t="s">
        <v>23</v>
      </c>
      <c r="E406" s="15" t="s">
        <v>1079</v>
      </c>
      <c r="F406" s="12">
        <f>DATE(2016,6,24)</f>
        <v>42545</v>
      </c>
      <c r="G406" s="13">
        <v>1999</v>
      </c>
      <c r="H406" s="13">
        <v>1</v>
      </c>
      <c r="I406" s="11" t="s">
        <v>15</v>
      </c>
      <c r="J406" s="15" t="s">
        <v>225</v>
      </c>
    </row>
    <row r="407" spans="1:35" s="14" customFormat="1" ht="12" customHeight="1" x14ac:dyDescent="0.25">
      <c r="A407" s="9">
        <v>405</v>
      </c>
      <c r="B407" s="14" t="s">
        <v>1080</v>
      </c>
      <c r="C407" s="14" t="s">
        <v>1081</v>
      </c>
      <c r="D407" s="9" t="s">
        <v>31</v>
      </c>
      <c r="E407" s="15" t="s">
        <v>1082</v>
      </c>
      <c r="F407" s="12">
        <f>DATE(2017,11,13)</f>
        <v>43052</v>
      </c>
      <c r="G407" s="13">
        <v>1994</v>
      </c>
      <c r="H407" s="13">
        <v>1</v>
      </c>
      <c r="I407" s="11" t="s">
        <v>230</v>
      </c>
      <c r="J407" s="15" t="s">
        <v>308</v>
      </c>
    </row>
    <row r="408" spans="1:35" s="14" customFormat="1" ht="12" customHeight="1" x14ac:dyDescent="0.25">
      <c r="A408" s="9">
        <v>406</v>
      </c>
      <c r="B408" s="14" t="s">
        <v>1083</v>
      </c>
      <c r="C408" s="14" t="s">
        <v>1084</v>
      </c>
      <c r="D408" s="9" t="s">
        <v>166</v>
      </c>
      <c r="E408" s="15" t="s">
        <v>1085</v>
      </c>
      <c r="F408" s="12">
        <f>DATE(2020,6,24)</f>
        <v>44006</v>
      </c>
      <c r="G408" s="13">
        <v>1976</v>
      </c>
      <c r="H408" s="13">
        <v>1</v>
      </c>
      <c r="I408" s="11" t="s">
        <v>45</v>
      </c>
      <c r="J408" s="15" t="s">
        <v>291</v>
      </c>
    </row>
    <row r="409" spans="1:35" s="14" customFormat="1" ht="12" customHeight="1" x14ac:dyDescent="0.25">
      <c r="A409" s="9">
        <v>407</v>
      </c>
      <c r="B409" s="14" t="s">
        <v>1086</v>
      </c>
      <c r="C409" s="14" t="s">
        <v>1087</v>
      </c>
      <c r="D409" s="9" t="s">
        <v>166</v>
      </c>
      <c r="E409" s="15" t="str">
        <f>B409</f>
        <v>Dantrolene</v>
      </c>
      <c r="F409" s="12">
        <f>DATE(2017,1,30)</f>
        <v>42765</v>
      </c>
      <c r="G409" s="13">
        <v>1974</v>
      </c>
      <c r="H409" s="13">
        <v>1</v>
      </c>
      <c r="I409" s="11" t="s">
        <v>100</v>
      </c>
      <c r="J409" s="15" t="s">
        <v>451</v>
      </c>
    </row>
    <row r="410" spans="1:35" s="14" customFormat="1" ht="12" customHeight="1" x14ac:dyDescent="0.25">
      <c r="A410" s="9">
        <v>408</v>
      </c>
      <c r="B410" s="14" t="s">
        <v>1088</v>
      </c>
      <c r="C410" s="14" t="s">
        <v>1089</v>
      </c>
      <c r="D410" s="9" t="s">
        <v>36</v>
      </c>
      <c r="E410" s="15" t="s">
        <v>701</v>
      </c>
      <c r="F410" s="12">
        <f>DATE(2023,2,10)</f>
        <v>44967</v>
      </c>
      <c r="G410" s="13">
        <v>2014</v>
      </c>
      <c r="H410" s="13">
        <v>1</v>
      </c>
      <c r="I410" s="11" t="s">
        <v>45</v>
      </c>
      <c r="J410" s="15" t="s">
        <v>46</v>
      </c>
    </row>
    <row r="411" spans="1:35" s="14" customFormat="1" ht="12" customHeight="1" x14ac:dyDescent="0.25">
      <c r="A411" s="9">
        <v>409</v>
      </c>
      <c r="B411" s="15" t="s">
        <v>1090</v>
      </c>
      <c r="C411" s="15" t="s">
        <v>1091</v>
      </c>
      <c r="D411" s="9" t="s">
        <v>31</v>
      </c>
      <c r="E411" s="15" t="s">
        <v>1090</v>
      </c>
      <c r="F411" s="12">
        <f>DATE(2024,7,15)</f>
        <v>45488</v>
      </c>
      <c r="G411" s="13">
        <v>2023</v>
      </c>
      <c r="H411" s="13">
        <v>1</v>
      </c>
      <c r="I411" s="11" t="s">
        <v>230</v>
      </c>
      <c r="J411" s="15" t="s">
        <v>1092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s="14" customFormat="1" ht="12" customHeight="1" x14ac:dyDescent="0.25">
      <c r="A412" s="9">
        <v>410</v>
      </c>
      <c r="B412" s="14" t="s">
        <v>1093</v>
      </c>
      <c r="C412" s="14" t="s">
        <v>1094</v>
      </c>
      <c r="D412" s="9" t="s">
        <v>166</v>
      </c>
      <c r="E412" s="15" t="str">
        <f>B412</f>
        <v>Dapsone</v>
      </c>
      <c r="F412" s="12">
        <f>DATE(2017,12,4)</f>
        <v>43073</v>
      </c>
      <c r="G412" s="13">
        <v>1979</v>
      </c>
      <c r="H412" s="13">
        <v>1</v>
      </c>
      <c r="I412" s="11" t="s">
        <v>15</v>
      </c>
      <c r="J412" s="15" t="s">
        <v>953</v>
      </c>
    </row>
    <row r="413" spans="1:35" s="14" customFormat="1" ht="12" customHeight="1" x14ac:dyDescent="0.25">
      <c r="A413" s="9">
        <v>411</v>
      </c>
      <c r="B413" s="14" t="s">
        <v>1095</v>
      </c>
      <c r="C413" s="14" t="s">
        <v>1096</v>
      </c>
      <c r="D413" s="9" t="s">
        <v>14</v>
      </c>
      <c r="E413" s="15" t="str">
        <f>B413</f>
        <v>Daptomycin</v>
      </c>
      <c r="F413" s="12">
        <f>DATE(2017,12,4)</f>
        <v>43073</v>
      </c>
      <c r="G413" s="13">
        <v>2003</v>
      </c>
      <c r="H413" s="13">
        <v>1</v>
      </c>
      <c r="I413" s="11" t="s">
        <v>15</v>
      </c>
      <c r="J413" s="15" t="s">
        <v>225</v>
      </c>
    </row>
    <row r="414" spans="1:35" s="14" customFormat="1" ht="12" customHeight="1" x14ac:dyDescent="0.25">
      <c r="A414" s="9">
        <v>412</v>
      </c>
      <c r="B414" s="14" t="s">
        <v>1097</v>
      </c>
      <c r="C414" s="14" t="s">
        <v>1098</v>
      </c>
      <c r="D414" s="9" t="s">
        <v>31</v>
      </c>
      <c r="E414" s="15" t="str">
        <f>B414</f>
        <v>Daratumumab</v>
      </c>
      <c r="F414" s="12">
        <f>DATE(2017,4,3)</f>
        <v>42828</v>
      </c>
      <c r="G414" s="13">
        <v>2015</v>
      </c>
      <c r="H414" s="13">
        <v>1</v>
      </c>
      <c r="I414" s="11" t="s">
        <v>24</v>
      </c>
      <c r="J414" s="15" t="s">
        <v>601</v>
      </c>
    </row>
    <row r="415" spans="1:35" s="14" customFormat="1" ht="12" customHeight="1" x14ac:dyDescent="0.25">
      <c r="A415" s="9">
        <v>413</v>
      </c>
      <c r="B415" s="14" t="s">
        <v>1099</v>
      </c>
      <c r="C415" s="14" t="s">
        <v>1100</v>
      </c>
      <c r="D415" s="9" t="s">
        <v>31</v>
      </c>
      <c r="E415" s="15" t="s">
        <v>1101</v>
      </c>
      <c r="F415" s="12">
        <f>DATE(2017,12,4)</f>
        <v>43073</v>
      </c>
      <c r="G415" s="13">
        <v>2022</v>
      </c>
      <c r="H415" s="13">
        <v>1</v>
      </c>
      <c r="I415" s="11" t="s">
        <v>230</v>
      </c>
      <c r="J415" s="15" t="s">
        <v>1102</v>
      </c>
    </row>
    <row r="416" spans="1:35" s="14" customFormat="1" ht="12" customHeight="1" x14ac:dyDescent="0.25">
      <c r="A416" s="9">
        <v>414</v>
      </c>
      <c r="B416" s="14" t="s">
        <v>1103</v>
      </c>
      <c r="C416" s="14" t="s">
        <v>1104</v>
      </c>
      <c r="D416" s="9" t="s">
        <v>31</v>
      </c>
      <c r="E416" s="14" t="s">
        <v>1103</v>
      </c>
      <c r="F416" s="12">
        <f>DATE(2025,2,5)</f>
        <v>45693</v>
      </c>
      <c r="G416" s="13">
        <v>2001</v>
      </c>
      <c r="H416" s="13">
        <v>1</v>
      </c>
      <c r="I416" s="11" t="s">
        <v>100</v>
      </c>
      <c r="J416" s="15" t="s">
        <v>1105</v>
      </c>
      <c r="K416" s="13"/>
      <c r="L416" s="13"/>
    </row>
    <row r="417" spans="1:35" s="14" customFormat="1" ht="12" customHeight="1" x14ac:dyDescent="0.25">
      <c r="A417" s="9">
        <v>415</v>
      </c>
      <c r="B417" s="14" t="s">
        <v>1106</v>
      </c>
      <c r="C417" s="14" t="s">
        <v>1107</v>
      </c>
      <c r="D417" s="9" t="s">
        <v>31</v>
      </c>
      <c r="E417" s="15" t="str">
        <f>B417</f>
        <v>Darifenacin</v>
      </c>
      <c r="F417" s="12">
        <f>DATE(2023,7,12)</f>
        <v>45119</v>
      </c>
      <c r="G417" s="13">
        <v>2004</v>
      </c>
      <c r="H417" s="13">
        <v>1</v>
      </c>
      <c r="I417" s="11" t="s">
        <v>151</v>
      </c>
      <c r="J417" s="15" t="s">
        <v>1108</v>
      </c>
    </row>
    <row r="418" spans="1:35" s="14" customFormat="1" ht="12" customHeight="1" x14ac:dyDescent="0.25">
      <c r="A418" s="9">
        <v>416</v>
      </c>
      <c r="B418" s="14" t="s">
        <v>1109</v>
      </c>
      <c r="C418" s="14" t="s">
        <v>1110</v>
      </c>
      <c r="D418" s="9" t="s">
        <v>31</v>
      </c>
      <c r="E418" s="15" t="s">
        <v>1109</v>
      </c>
      <c r="F418" s="12">
        <f>DATE(2023,3,24)</f>
        <v>45009</v>
      </c>
      <c r="G418" s="16">
        <v>2019</v>
      </c>
      <c r="H418" s="13">
        <v>1</v>
      </c>
      <c r="I418" s="11" t="s">
        <v>24</v>
      </c>
      <c r="J418" s="15" t="s">
        <v>28</v>
      </c>
    </row>
    <row r="419" spans="1:35" s="14" customFormat="1" ht="12" customHeight="1" x14ac:dyDescent="0.25">
      <c r="A419" s="9">
        <v>417</v>
      </c>
      <c r="B419" s="14" t="s">
        <v>1111</v>
      </c>
      <c r="C419" s="14" t="s">
        <v>1112</v>
      </c>
      <c r="D419" s="9" t="s">
        <v>14</v>
      </c>
      <c r="E419" s="15" t="str">
        <f>B419</f>
        <v>Darunavir</v>
      </c>
      <c r="F419" s="12">
        <f>DATE(2014,7,15)</f>
        <v>41835</v>
      </c>
      <c r="G419" s="13">
        <v>2006</v>
      </c>
      <c r="H419" s="13">
        <v>1</v>
      </c>
      <c r="I419" s="11" t="s">
        <v>15</v>
      </c>
      <c r="J419" s="15" t="s">
        <v>16</v>
      </c>
    </row>
    <row r="420" spans="1:35" s="14" customFormat="1" ht="12" customHeight="1" x14ac:dyDescent="0.25">
      <c r="A420" s="9">
        <v>418</v>
      </c>
      <c r="B420" s="14" t="s">
        <v>1113</v>
      </c>
      <c r="C420" s="14" t="s">
        <v>1114</v>
      </c>
      <c r="D420" s="9" t="s">
        <v>44</v>
      </c>
      <c r="E420" s="15" t="s">
        <v>1115</v>
      </c>
      <c r="F420" s="12">
        <f>DATE(2022,2,7)</f>
        <v>44599</v>
      </c>
      <c r="G420" s="13">
        <v>2014</v>
      </c>
      <c r="H420" s="13">
        <v>1</v>
      </c>
      <c r="I420" s="11" t="s">
        <v>15</v>
      </c>
      <c r="J420" s="15" t="s">
        <v>366</v>
      </c>
    </row>
    <row r="421" spans="1:35" s="14" customFormat="1" ht="12" customHeight="1" x14ac:dyDescent="0.25">
      <c r="A421" s="9">
        <v>419</v>
      </c>
      <c r="B421" s="14" t="s">
        <v>1116</v>
      </c>
      <c r="C421" s="14" t="s">
        <v>1117</v>
      </c>
      <c r="D421" s="9" t="s">
        <v>36</v>
      </c>
      <c r="E421" s="15" t="str">
        <f>B421</f>
        <v>Dasatinib</v>
      </c>
      <c r="F421" s="12">
        <f>DATE(2017,12,5)</f>
        <v>43074</v>
      </c>
      <c r="G421" s="13">
        <v>2006</v>
      </c>
      <c r="H421" s="13">
        <v>1</v>
      </c>
      <c r="I421" s="11" t="s">
        <v>24</v>
      </c>
      <c r="J421" s="15" t="s">
        <v>596</v>
      </c>
    </row>
    <row r="422" spans="1:35" s="14" customFormat="1" ht="12" customHeight="1" x14ac:dyDescent="0.3">
      <c r="A422" s="9">
        <v>420</v>
      </c>
      <c r="B422" s="14" t="s">
        <v>1118</v>
      </c>
      <c r="C422" s="14" t="s">
        <v>1119</v>
      </c>
      <c r="D422" s="9" t="s">
        <v>77</v>
      </c>
      <c r="E422" s="14" t="s">
        <v>1118</v>
      </c>
      <c r="F422" s="9"/>
      <c r="G422" s="13">
        <v>2025</v>
      </c>
      <c r="H422" s="16">
        <v>0</v>
      </c>
      <c r="I422" s="11" t="s">
        <v>24</v>
      </c>
      <c r="J422" s="15" t="s">
        <v>25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</row>
    <row r="423" spans="1:35" s="14" customFormat="1" ht="12" customHeight="1" x14ac:dyDescent="0.25">
      <c r="A423" s="9">
        <v>421</v>
      </c>
      <c r="B423" s="14" t="s">
        <v>1120</v>
      </c>
      <c r="C423" s="14" t="s">
        <v>1121</v>
      </c>
      <c r="D423" s="9" t="s">
        <v>23</v>
      </c>
      <c r="E423" s="15" t="str">
        <f t="shared" ref="E423:E429" si="8">B423</f>
        <v>Daunorubicin</v>
      </c>
      <c r="F423" s="12">
        <f>DATE(2017,12,26)</f>
        <v>43095</v>
      </c>
      <c r="G423" s="13">
        <v>1979</v>
      </c>
      <c r="H423" s="13">
        <v>1</v>
      </c>
      <c r="I423" s="11" t="s">
        <v>24</v>
      </c>
      <c r="J423" s="15" t="s">
        <v>357</v>
      </c>
    </row>
    <row r="424" spans="1:35" s="14" customFormat="1" ht="12" customHeight="1" x14ac:dyDescent="0.25">
      <c r="A424" s="9">
        <v>422</v>
      </c>
      <c r="B424" s="14" t="s">
        <v>1122</v>
      </c>
      <c r="C424" s="14" t="s">
        <v>1123</v>
      </c>
      <c r="D424" s="9" t="s">
        <v>23</v>
      </c>
      <c r="E424" s="15" t="str">
        <f t="shared" si="8"/>
        <v>Decitabine</v>
      </c>
      <c r="F424" s="12">
        <f>DATE(2023,7,27)</f>
        <v>45134</v>
      </c>
      <c r="G424" s="13">
        <v>2006</v>
      </c>
      <c r="H424" s="13">
        <v>1</v>
      </c>
      <c r="I424" s="11" t="s">
        <v>24</v>
      </c>
      <c r="J424" s="15" t="s">
        <v>1124</v>
      </c>
    </row>
    <row r="425" spans="1:35" s="14" customFormat="1" ht="12" customHeight="1" x14ac:dyDescent="0.25">
      <c r="A425" s="9">
        <v>423</v>
      </c>
      <c r="B425" s="14" t="s">
        <v>1125</v>
      </c>
      <c r="C425" s="14" t="s">
        <v>1126</v>
      </c>
      <c r="D425" s="9" t="s">
        <v>14</v>
      </c>
      <c r="E425" s="15" t="str">
        <f t="shared" si="8"/>
        <v>Deferasirox</v>
      </c>
      <c r="F425" s="12">
        <f>DATE(2017,12,26)</f>
        <v>43095</v>
      </c>
      <c r="G425" s="13">
        <v>2005</v>
      </c>
      <c r="H425" s="13">
        <v>1</v>
      </c>
      <c r="I425" s="11" t="s">
        <v>66</v>
      </c>
      <c r="J425" s="15" t="s">
        <v>1127</v>
      </c>
    </row>
    <row r="426" spans="1:35" s="14" customFormat="1" ht="12" customHeight="1" x14ac:dyDescent="0.25">
      <c r="A426" s="9">
        <v>424</v>
      </c>
      <c r="B426" s="14" t="s">
        <v>1128</v>
      </c>
      <c r="C426" s="14" t="s">
        <v>1129</v>
      </c>
      <c r="D426" s="9" t="s">
        <v>23</v>
      </c>
      <c r="E426" s="15" t="str">
        <f t="shared" si="8"/>
        <v>Deferiprone</v>
      </c>
      <c r="F426" s="12">
        <f>DATE(2017,12,26)</f>
        <v>43095</v>
      </c>
      <c r="G426" s="13">
        <v>2011</v>
      </c>
      <c r="H426" s="13">
        <v>1</v>
      </c>
      <c r="I426" s="11" t="s">
        <v>66</v>
      </c>
      <c r="J426" s="15" t="s">
        <v>1127</v>
      </c>
    </row>
    <row r="427" spans="1:35" s="14" customFormat="1" ht="12" customHeight="1" x14ac:dyDescent="0.25">
      <c r="A427" s="9">
        <v>425</v>
      </c>
      <c r="B427" s="14" t="s">
        <v>1130</v>
      </c>
      <c r="C427" s="14" t="s">
        <v>1131</v>
      </c>
      <c r="D427" s="9" t="s">
        <v>31</v>
      </c>
      <c r="E427" s="15" t="str">
        <f t="shared" si="8"/>
        <v>Deferoxamine</v>
      </c>
      <c r="F427" s="12">
        <f>DATE(2017,12,26)</f>
        <v>43095</v>
      </c>
      <c r="G427" s="13">
        <v>1968</v>
      </c>
      <c r="H427" s="13">
        <v>1</v>
      </c>
      <c r="I427" s="11" t="s">
        <v>66</v>
      </c>
      <c r="J427" s="15" t="s">
        <v>1127</v>
      </c>
    </row>
    <row r="428" spans="1:35" s="14" customFormat="1" ht="12" customHeight="1" x14ac:dyDescent="0.25">
      <c r="A428" s="9">
        <v>426</v>
      </c>
      <c r="B428" s="14" t="s">
        <v>1132</v>
      </c>
      <c r="C428" s="14" t="s">
        <v>1133</v>
      </c>
      <c r="D428" s="9" t="s">
        <v>31</v>
      </c>
      <c r="E428" s="15" t="str">
        <f t="shared" si="8"/>
        <v>Defibrotide</v>
      </c>
      <c r="F428" s="12">
        <f>DATE(2017,12,26)</f>
        <v>43095</v>
      </c>
      <c r="G428" s="13">
        <v>2016</v>
      </c>
      <c r="H428" s="13">
        <v>1</v>
      </c>
      <c r="I428" s="11" t="s">
        <v>230</v>
      </c>
      <c r="J428" s="15" t="s">
        <v>1134</v>
      </c>
    </row>
    <row r="429" spans="1:35" s="14" customFormat="1" ht="12" customHeight="1" x14ac:dyDescent="0.25">
      <c r="A429" s="9">
        <v>427</v>
      </c>
      <c r="B429" s="14" t="s">
        <v>1135</v>
      </c>
      <c r="C429" s="14" t="s">
        <v>1136</v>
      </c>
      <c r="D429" s="9" t="s">
        <v>31</v>
      </c>
      <c r="E429" s="15" t="str">
        <f t="shared" si="8"/>
        <v>Degarelix</v>
      </c>
      <c r="F429" s="12">
        <f>DATE(2017,12,26)</f>
        <v>43095</v>
      </c>
      <c r="G429" s="13">
        <v>2009</v>
      </c>
      <c r="H429" s="13">
        <v>1</v>
      </c>
      <c r="I429" s="11" t="s">
        <v>24</v>
      </c>
      <c r="J429" s="15" t="s">
        <v>28</v>
      </c>
    </row>
    <row r="430" spans="1:35" s="14" customFormat="1" ht="12" customHeight="1" x14ac:dyDescent="0.25">
      <c r="A430" s="9">
        <v>428</v>
      </c>
      <c r="B430" s="14" t="s">
        <v>1137</v>
      </c>
      <c r="C430" s="14" t="s">
        <v>1138</v>
      </c>
      <c r="D430" s="9" t="s">
        <v>31</v>
      </c>
      <c r="E430" s="15"/>
      <c r="F430" s="12"/>
      <c r="G430" s="13" t="s">
        <v>174</v>
      </c>
      <c r="H430" s="13">
        <v>0</v>
      </c>
      <c r="I430" s="11" t="s">
        <v>190</v>
      </c>
      <c r="J430" s="15" t="s">
        <v>294</v>
      </c>
    </row>
    <row r="431" spans="1:35" s="14" customFormat="1" ht="12" customHeight="1" x14ac:dyDescent="0.25">
      <c r="A431" s="9">
        <v>429</v>
      </c>
      <c r="B431" s="14" t="s">
        <v>1139</v>
      </c>
      <c r="C431" s="14" t="s">
        <v>1140</v>
      </c>
      <c r="D431" s="9" t="s">
        <v>23</v>
      </c>
      <c r="E431" s="15" t="str">
        <f>B431</f>
        <v>Delafloxacin</v>
      </c>
      <c r="F431" s="12">
        <f>DATE(2020,3,10)</f>
        <v>43900</v>
      </c>
      <c r="G431" s="13">
        <v>2017</v>
      </c>
      <c r="H431" s="13">
        <v>1</v>
      </c>
      <c r="I431" s="11" t="s">
        <v>15</v>
      </c>
      <c r="J431" s="15" t="s">
        <v>225</v>
      </c>
    </row>
    <row r="432" spans="1:35" s="14" customFormat="1" ht="12" customHeight="1" x14ac:dyDescent="0.25">
      <c r="A432" s="9">
        <v>430</v>
      </c>
      <c r="B432" s="15" t="s">
        <v>1141</v>
      </c>
      <c r="C432" s="14" t="s">
        <v>1142</v>
      </c>
      <c r="D432" s="9" t="s">
        <v>14</v>
      </c>
      <c r="E432" s="14" t="s">
        <v>1141</v>
      </c>
      <c r="F432" s="12">
        <f>DATE(2025,9,10)</f>
        <v>45910</v>
      </c>
      <c r="G432" s="13">
        <v>2025</v>
      </c>
      <c r="H432" s="13">
        <v>1</v>
      </c>
      <c r="I432" s="11" t="s">
        <v>324</v>
      </c>
      <c r="J432" s="15" t="s">
        <v>1143</v>
      </c>
      <c r="K432" s="13"/>
    </row>
    <row r="433" spans="1:35" s="14" customFormat="1" ht="12" customHeight="1" x14ac:dyDescent="0.25">
      <c r="A433" s="9">
        <v>431</v>
      </c>
      <c r="B433" s="14" t="s">
        <v>1144</v>
      </c>
      <c r="C433" s="14" t="s">
        <v>1145</v>
      </c>
      <c r="D433" s="9" t="s">
        <v>23</v>
      </c>
      <c r="E433" s="15" t="str">
        <f>B433</f>
        <v>Delavirdine</v>
      </c>
      <c r="F433" s="12">
        <f>DATE(2017,12,26)</f>
        <v>43095</v>
      </c>
      <c r="G433" s="13">
        <v>1997</v>
      </c>
      <c r="H433" s="13">
        <v>1</v>
      </c>
      <c r="I433" s="11" t="s">
        <v>15</v>
      </c>
      <c r="J433" s="15" t="s">
        <v>16</v>
      </c>
    </row>
    <row r="434" spans="1:35" s="14" customFormat="1" ht="12" customHeight="1" x14ac:dyDescent="0.3">
      <c r="A434" s="9">
        <v>432</v>
      </c>
      <c r="B434" s="14" t="s">
        <v>1146</v>
      </c>
      <c r="C434" s="14" t="s">
        <v>1147</v>
      </c>
      <c r="D434" s="9" t="s">
        <v>77</v>
      </c>
      <c r="E434" s="14" t="s">
        <v>1146</v>
      </c>
      <c r="F434" s="9"/>
      <c r="G434" s="13">
        <v>2025</v>
      </c>
      <c r="H434" s="16">
        <v>0</v>
      </c>
      <c r="I434" s="10" t="s">
        <v>32</v>
      </c>
      <c r="J434" s="14" t="s">
        <v>1148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</row>
    <row r="435" spans="1:35" s="14" customFormat="1" ht="12" customHeight="1" x14ac:dyDescent="0.25">
      <c r="A435" s="9">
        <v>433</v>
      </c>
      <c r="B435" s="14" t="s">
        <v>1149</v>
      </c>
      <c r="C435" s="14" t="s">
        <v>1150</v>
      </c>
      <c r="D435" s="9" t="s">
        <v>23</v>
      </c>
      <c r="E435" s="15" t="str">
        <f>B435</f>
        <v>Demeclocycline</v>
      </c>
      <c r="F435" s="12">
        <f>DATE(2019,1,3)</f>
        <v>43468</v>
      </c>
      <c r="G435" s="13">
        <v>1960</v>
      </c>
      <c r="H435" s="13">
        <v>1</v>
      </c>
      <c r="I435" s="11" t="s">
        <v>15</v>
      </c>
      <c r="J435" s="15" t="s">
        <v>225</v>
      </c>
    </row>
    <row r="436" spans="1:35" s="14" customFormat="1" ht="12" customHeight="1" x14ac:dyDescent="0.25">
      <c r="A436" s="9">
        <v>434</v>
      </c>
      <c r="B436" s="14" t="s">
        <v>1151</v>
      </c>
      <c r="C436" s="14" t="s">
        <v>1152</v>
      </c>
      <c r="D436" s="9" t="s">
        <v>23</v>
      </c>
      <c r="E436" s="15" t="str">
        <f>B436</f>
        <v>Denileukin diftitox</v>
      </c>
      <c r="F436" s="12">
        <f>DATE(2017,12,27)</f>
        <v>43096</v>
      </c>
      <c r="G436" s="13">
        <v>1999</v>
      </c>
      <c r="H436" s="13">
        <v>1</v>
      </c>
      <c r="I436" s="11" t="s">
        <v>24</v>
      </c>
      <c r="J436" s="15" t="s">
        <v>596</v>
      </c>
    </row>
    <row r="437" spans="1:35" s="14" customFormat="1" ht="12" customHeight="1" x14ac:dyDescent="0.25">
      <c r="A437" s="9">
        <v>435</v>
      </c>
      <c r="B437" s="14" t="s">
        <v>1153</v>
      </c>
      <c r="C437" s="14" t="s">
        <v>1154</v>
      </c>
      <c r="D437" s="9" t="s">
        <v>23</v>
      </c>
      <c r="E437" s="15" t="str">
        <f>B437</f>
        <v>Denosumab</v>
      </c>
      <c r="F437" s="12">
        <f>DATE(2018,1,1)</f>
        <v>43101</v>
      </c>
      <c r="G437" s="13">
        <v>2010</v>
      </c>
      <c r="H437" s="13">
        <v>1</v>
      </c>
      <c r="I437" s="11" t="s">
        <v>45</v>
      </c>
      <c r="J437" s="15" t="s">
        <v>144</v>
      </c>
    </row>
    <row r="438" spans="1:35" s="14" customFormat="1" ht="12" customHeight="1" x14ac:dyDescent="0.3">
      <c r="A438" s="9">
        <v>436</v>
      </c>
      <c r="B438" s="14" t="s">
        <v>1155</v>
      </c>
      <c r="C438" s="14" t="s">
        <v>1156</v>
      </c>
      <c r="D438" s="9" t="s">
        <v>77</v>
      </c>
      <c r="E438" s="14" t="s">
        <v>1155</v>
      </c>
      <c r="F438" s="9"/>
      <c r="G438" s="13">
        <v>2025</v>
      </c>
      <c r="H438" s="16">
        <v>0</v>
      </c>
      <c r="I438" s="10" t="s">
        <v>613</v>
      </c>
      <c r="J438" s="14" t="s">
        <v>1157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</row>
    <row r="439" spans="1:35" s="14" customFormat="1" ht="12" customHeight="1" x14ac:dyDescent="0.25">
      <c r="A439" s="9">
        <v>437</v>
      </c>
      <c r="B439" s="14" t="s">
        <v>1158</v>
      </c>
      <c r="C439" s="14" t="s">
        <v>1159</v>
      </c>
      <c r="D439" s="9" t="s">
        <v>77</v>
      </c>
      <c r="E439" s="15"/>
      <c r="F439" s="12"/>
      <c r="G439" s="13">
        <v>1957</v>
      </c>
      <c r="H439" s="13">
        <v>0</v>
      </c>
      <c r="I439" s="11" t="s">
        <v>49</v>
      </c>
      <c r="J439" s="15" t="s">
        <v>50</v>
      </c>
    </row>
    <row r="440" spans="1:35" s="14" customFormat="1" ht="12" customHeight="1" x14ac:dyDescent="0.25">
      <c r="A440" s="9">
        <v>438</v>
      </c>
      <c r="B440" s="14" t="s">
        <v>1160</v>
      </c>
      <c r="C440" s="14" t="s">
        <v>1161</v>
      </c>
      <c r="D440" s="9" t="s">
        <v>14</v>
      </c>
      <c r="E440" s="15" t="str">
        <f>B440</f>
        <v>Desflurane</v>
      </c>
      <c r="F440" s="12">
        <f>DATE(2017,12,26)</f>
        <v>43095</v>
      </c>
      <c r="G440" s="13">
        <v>1992</v>
      </c>
      <c r="H440" s="13">
        <v>1</v>
      </c>
      <c r="I440" s="11" t="s">
        <v>100</v>
      </c>
      <c r="J440" s="15" t="s">
        <v>1162</v>
      </c>
    </row>
    <row r="441" spans="1:35" s="14" customFormat="1" ht="12" customHeight="1" x14ac:dyDescent="0.25">
      <c r="A441" s="9">
        <v>439</v>
      </c>
      <c r="B441" s="14" t="s">
        <v>1163</v>
      </c>
      <c r="C441" s="14" t="s">
        <v>1164</v>
      </c>
      <c r="D441" s="9" t="s">
        <v>36</v>
      </c>
      <c r="E441" s="15" t="str">
        <f>B441</f>
        <v>Desipramine</v>
      </c>
      <c r="F441" s="12">
        <f>DATE(2018,1,3)</f>
        <v>43103</v>
      </c>
      <c r="G441" s="13">
        <v>1964</v>
      </c>
      <c r="H441" s="13">
        <v>1</v>
      </c>
      <c r="I441" s="11" t="s">
        <v>100</v>
      </c>
      <c r="J441" s="15" t="s">
        <v>250</v>
      </c>
    </row>
    <row r="442" spans="1:35" s="14" customFormat="1" ht="12" customHeight="1" x14ac:dyDescent="0.25">
      <c r="A442" s="9">
        <v>440</v>
      </c>
      <c r="B442" s="14" t="s">
        <v>1165</v>
      </c>
      <c r="C442" s="14" t="s">
        <v>1166</v>
      </c>
      <c r="D442" s="9" t="s">
        <v>31</v>
      </c>
      <c r="E442" s="15" t="str">
        <f>B442</f>
        <v>Desirudin</v>
      </c>
      <c r="F442" s="12">
        <f>DATE(2018,1,3)</f>
        <v>43103</v>
      </c>
      <c r="G442" s="13">
        <v>2003</v>
      </c>
      <c r="H442" s="13">
        <v>1</v>
      </c>
      <c r="I442" s="11" t="s">
        <v>230</v>
      </c>
      <c r="J442" s="15" t="s">
        <v>308</v>
      </c>
    </row>
    <row r="443" spans="1:35" s="14" customFormat="1" ht="12" customHeight="1" x14ac:dyDescent="0.25">
      <c r="A443" s="9">
        <v>441</v>
      </c>
      <c r="B443" s="14" t="s">
        <v>1167</v>
      </c>
      <c r="C443" s="14" t="s">
        <v>1168</v>
      </c>
      <c r="D443" s="9" t="s">
        <v>23</v>
      </c>
      <c r="E443" s="15" t="s">
        <v>1169</v>
      </c>
      <c r="F443" s="12">
        <f>DATE(2017,1,17)</f>
        <v>42752</v>
      </c>
      <c r="G443" s="13">
        <v>2001</v>
      </c>
      <c r="H443" s="13">
        <v>1</v>
      </c>
      <c r="I443" s="11" t="s">
        <v>73</v>
      </c>
      <c r="J443" s="15" t="s">
        <v>85</v>
      </c>
    </row>
    <row r="444" spans="1:35" s="14" customFormat="1" ht="12" customHeight="1" x14ac:dyDescent="0.25">
      <c r="A444" s="9">
        <v>442</v>
      </c>
      <c r="B444" s="14" t="s">
        <v>1170</v>
      </c>
      <c r="C444" s="14" t="s">
        <v>1171</v>
      </c>
      <c r="D444" s="9" t="s">
        <v>166</v>
      </c>
      <c r="E444" s="15" t="s">
        <v>1172</v>
      </c>
      <c r="F444" s="12">
        <f>DATE(2020,6,24)</f>
        <v>44006</v>
      </c>
      <c r="G444" s="13">
        <v>1992</v>
      </c>
      <c r="H444" s="13">
        <v>1</v>
      </c>
      <c r="I444" s="11" t="s">
        <v>473</v>
      </c>
      <c r="J444" s="15" t="s">
        <v>1173</v>
      </c>
    </row>
    <row r="445" spans="1:35" s="14" customFormat="1" ht="12" customHeight="1" x14ac:dyDescent="0.25">
      <c r="A445" s="9">
        <v>443</v>
      </c>
      <c r="B445" s="14" t="s">
        <v>1174</v>
      </c>
      <c r="C445" s="14" t="s">
        <v>1175</v>
      </c>
      <c r="D445" s="9" t="s">
        <v>23</v>
      </c>
      <c r="E445" s="15" t="s">
        <v>1176</v>
      </c>
      <c r="F445" s="12">
        <f>DATE(2020,3,6)</f>
        <v>43896</v>
      </c>
      <c r="G445" s="13">
        <v>2008</v>
      </c>
      <c r="H445" s="13">
        <v>1</v>
      </c>
      <c r="I445" s="11" t="s">
        <v>100</v>
      </c>
      <c r="J445" s="15" t="s">
        <v>250</v>
      </c>
    </row>
    <row r="446" spans="1:35" s="14" customFormat="1" ht="12" customHeight="1" x14ac:dyDescent="0.25">
      <c r="A446" s="9">
        <v>444</v>
      </c>
      <c r="B446" s="14" t="s">
        <v>1177</v>
      </c>
      <c r="C446" s="14" t="s">
        <v>1178</v>
      </c>
      <c r="D446" s="9" t="s">
        <v>23</v>
      </c>
      <c r="E446" s="14" t="s">
        <v>1177</v>
      </c>
      <c r="F446" s="12">
        <f>DATE(2023,12,28)</f>
        <v>45288</v>
      </c>
      <c r="G446" s="13">
        <v>2022</v>
      </c>
      <c r="H446" s="13">
        <v>1</v>
      </c>
      <c r="I446" s="11" t="s">
        <v>32</v>
      </c>
      <c r="J446" s="15" t="s">
        <v>70</v>
      </c>
      <c r="K446" s="13"/>
      <c r="L446" s="13"/>
    </row>
    <row r="447" spans="1:35" s="14" customFormat="1" ht="12" customHeight="1" x14ac:dyDescent="0.25">
      <c r="A447" s="9">
        <v>445</v>
      </c>
      <c r="B447" s="14" t="s">
        <v>1179</v>
      </c>
      <c r="C447" s="14" t="s">
        <v>1180</v>
      </c>
      <c r="D447" s="9" t="s">
        <v>23</v>
      </c>
      <c r="E447" s="14" t="s">
        <v>1179</v>
      </c>
      <c r="F447" s="12">
        <f>DATE(2024,11,7)</f>
        <v>45603</v>
      </c>
      <c r="G447" s="13">
        <v>2024</v>
      </c>
      <c r="H447" s="13">
        <v>1</v>
      </c>
      <c r="I447" s="10" t="s">
        <v>32</v>
      </c>
      <c r="J447" s="14" t="s">
        <v>1181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s="14" customFormat="1" ht="12" customHeight="1" x14ac:dyDescent="0.25">
      <c r="A448" s="9">
        <v>446</v>
      </c>
      <c r="B448" s="15" t="s">
        <v>1179</v>
      </c>
      <c r="C448" s="14" t="s">
        <v>1182</v>
      </c>
      <c r="D448" s="13" t="s">
        <v>23</v>
      </c>
      <c r="E448" s="15" t="s">
        <v>1179</v>
      </c>
      <c r="F448" s="20">
        <f>DATE(2024,11,7)</f>
        <v>45603</v>
      </c>
      <c r="G448" s="13">
        <v>2024</v>
      </c>
      <c r="H448" s="13">
        <v>1</v>
      </c>
      <c r="I448" s="15" t="s">
        <v>32</v>
      </c>
      <c r="J448" s="15" t="s">
        <v>1181</v>
      </c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s="10" customFormat="1" ht="12" customHeight="1" x14ac:dyDescent="0.25">
      <c r="A449" s="9">
        <v>447</v>
      </c>
      <c r="B449" s="10" t="s">
        <v>1183</v>
      </c>
      <c r="C449" s="10" t="s">
        <v>1184</v>
      </c>
      <c r="D449" s="9" t="s">
        <v>31</v>
      </c>
      <c r="E449" s="11" t="s">
        <v>1185</v>
      </c>
      <c r="F449" s="12">
        <f>DATE(2019,3,12)</f>
        <v>43536</v>
      </c>
      <c r="G449" s="9">
        <v>2017</v>
      </c>
      <c r="H449" s="9">
        <v>1</v>
      </c>
      <c r="I449" s="11" t="s">
        <v>100</v>
      </c>
      <c r="J449" s="11" t="s">
        <v>1186</v>
      </c>
    </row>
    <row r="450" spans="1:35" s="14" customFormat="1" ht="12" customHeight="1" x14ac:dyDescent="0.25">
      <c r="A450" s="9">
        <v>448</v>
      </c>
      <c r="B450" s="15" t="s">
        <v>1187</v>
      </c>
      <c r="C450" s="15" t="s">
        <v>1188</v>
      </c>
      <c r="D450" s="9" t="s">
        <v>44</v>
      </c>
      <c r="E450" s="14" t="s">
        <v>1189</v>
      </c>
      <c r="F450" s="12">
        <f>DATE(2025,8,28)</f>
        <v>45897</v>
      </c>
      <c r="G450" s="13">
        <v>2025</v>
      </c>
      <c r="H450" s="13">
        <v>1</v>
      </c>
      <c r="I450" s="11" t="s">
        <v>104</v>
      </c>
      <c r="J450" s="13" t="s">
        <v>1190</v>
      </c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</row>
    <row r="451" spans="1:35" s="14" customFormat="1" ht="12" customHeight="1" x14ac:dyDescent="0.25">
      <c r="A451" s="9">
        <v>449</v>
      </c>
      <c r="B451" s="14" t="s">
        <v>1187</v>
      </c>
      <c r="C451" s="14" t="s">
        <v>1191</v>
      </c>
      <c r="D451" s="9" t="s">
        <v>44</v>
      </c>
      <c r="E451" s="14" t="s">
        <v>1187</v>
      </c>
      <c r="F451" s="12"/>
      <c r="G451" s="13">
        <v>2024</v>
      </c>
      <c r="H451" s="13">
        <v>0</v>
      </c>
      <c r="I451" s="10" t="s">
        <v>324</v>
      </c>
      <c r="J451" s="14" t="s">
        <v>1190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s="14" customFormat="1" ht="12" customHeight="1" x14ac:dyDescent="0.25">
      <c r="A452" s="9">
        <v>450</v>
      </c>
      <c r="B452" s="14" t="s">
        <v>1192</v>
      </c>
      <c r="C452" s="14" t="s">
        <v>1193</v>
      </c>
      <c r="D452" s="9" t="s">
        <v>53</v>
      </c>
      <c r="E452" s="15" t="s">
        <v>536</v>
      </c>
      <c r="F452" s="12">
        <f>DATE(2021,5,5)</f>
        <v>44321</v>
      </c>
      <c r="G452" s="13">
        <v>1958</v>
      </c>
      <c r="H452" s="13">
        <v>1</v>
      </c>
      <c r="I452" s="11" t="s">
        <v>45</v>
      </c>
      <c r="J452" s="15" t="s">
        <v>537</v>
      </c>
    </row>
    <row r="453" spans="1:35" s="14" customFormat="1" ht="12" customHeight="1" x14ac:dyDescent="0.25">
      <c r="A453" s="9">
        <v>451</v>
      </c>
      <c r="B453" s="14" t="s">
        <v>1194</v>
      </c>
      <c r="C453" s="14" t="s">
        <v>1195</v>
      </c>
      <c r="D453" s="9" t="s">
        <v>31</v>
      </c>
      <c r="E453" s="15" t="s">
        <v>641</v>
      </c>
      <c r="F453" s="12">
        <f>DATE(2017,1,17)</f>
        <v>42752</v>
      </c>
      <c r="G453" s="13" t="s">
        <v>63</v>
      </c>
      <c r="H453" s="13">
        <v>1</v>
      </c>
      <c r="I453" s="11" t="s">
        <v>73</v>
      </c>
      <c r="J453" s="15" t="s">
        <v>1196</v>
      </c>
    </row>
    <row r="454" spans="1:35" s="14" customFormat="1" ht="12" customHeight="1" x14ac:dyDescent="0.25">
      <c r="A454" s="9">
        <v>452</v>
      </c>
      <c r="B454" s="14" t="s">
        <v>1197</v>
      </c>
      <c r="C454" s="14" t="s">
        <v>1198</v>
      </c>
      <c r="D454" s="9" t="s">
        <v>31</v>
      </c>
      <c r="E454" s="15" t="s">
        <v>641</v>
      </c>
      <c r="F454" s="12">
        <f>DATE(2017,1,17)</f>
        <v>42752</v>
      </c>
      <c r="G454" s="13">
        <v>1981</v>
      </c>
      <c r="H454" s="13">
        <v>1</v>
      </c>
      <c r="I454" s="11" t="s">
        <v>73</v>
      </c>
      <c r="J454" s="15" t="s">
        <v>85</v>
      </c>
    </row>
    <row r="455" spans="1:35" s="14" customFormat="1" ht="12" customHeight="1" x14ac:dyDescent="0.25">
      <c r="A455" s="9">
        <v>453</v>
      </c>
      <c r="B455" s="14" t="s">
        <v>1199</v>
      </c>
      <c r="C455" s="14" t="s">
        <v>1200</v>
      </c>
      <c r="D455" s="9" t="s">
        <v>14</v>
      </c>
      <c r="E455" s="15" t="s">
        <v>1201</v>
      </c>
      <c r="F455" s="12">
        <f>DATE(2019,4,15)</f>
        <v>43570</v>
      </c>
      <c r="G455" s="13">
        <v>1995</v>
      </c>
      <c r="H455" s="13">
        <v>1</v>
      </c>
      <c r="I455" s="11" t="s">
        <v>182</v>
      </c>
      <c r="J455" s="15" t="s">
        <v>918</v>
      </c>
    </row>
    <row r="456" spans="1:35" s="14" customFormat="1" ht="12" customHeight="1" x14ac:dyDescent="0.25">
      <c r="A456" s="9">
        <v>454</v>
      </c>
      <c r="B456" s="14" t="s">
        <v>1202</v>
      </c>
      <c r="C456" s="14" t="s">
        <v>1203</v>
      </c>
      <c r="D456" s="9" t="s">
        <v>131</v>
      </c>
      <c r="E456" s="15" t="s">
        <v>1204</v>
      </c>
      <c r="F456" s="12">
        <f>DATE(2021,8,25)</f>
        <v>44433</v>
      </c>
      <c r="G456" s="13">
        <v>2001</v>
      </c>
      <c r="H456" s="13">
        <v>1</v>
      </c>
      <c r="I456" s="11" t="s">
        <v>100</v>
      </c>
      <c r="J456" s="15" t="s">
        <v>383</v>
      </c>
    </row>
    <row r="457" spans="1:35" s="14" customFormat="1" ht="12" customHeight="1" x14ac:dyDescent="0.25">
      <c r="A457" s="9">
        <v>455</v>
      </c>
      <c r="B457" s="14" t="s">
        <v>1205</v>
      </c>
      <c r="C457" s="14" t="s">
        <v>267</v>
      </c>
      <c r="D457" s="9" t="s">
        <v>23</v>
      </c>
      <c r="E457" s="15" t="s">
        <v>266</v>
      </c>
      <c r="F457" s="12">
        <f>DATE(2021,8,25)</f>
        <v>44433</v>
      </c>
      <c r="G457" s="13">
        <v>1943</v>
      </c>
      <c r="H457" s="13">
        <v>1</v>
      </c>
      <c r="I457" s="11" t="s">
        <v>100</v>
      </c>
      <c r="J457" s="15" t="s">
        <v>383</v>
      </c>
    </row>
    <row r="458" spans="1:35" s="14" customFormat="1" ht="12" customHeight="1" x14ac:dyDescent="0.25">
      <c r="A458" s="9">
        <v>456</v>
      </c>
      <c r="B458" s="14" t="s">
        <v>1206</v>
      </c>
      <c r="C458" s="14" t="s">
        <v>1207</v>
      </c>
      <c r="D458" s="9" t="s">
        <v>23</v>
      </c>
      <c r="E458" s="15" t="s">
        <v>1208</v>
      </c>
      <c r="F458" s="12">
        <f>DATE(2019,4,15)</f>
        <v>43570</v>
      </c>
      <c r="G458" s="13">
        <v>1967</v>
      </c>
      <c r="H458" s="13">
        <v>1</v>
      </c>
      <c r="I458" s="11" t="s">
        <v>45</v>
      </c>
      <c r="J458" s="15" t="s">
        <v>291</v>
      </c>
    </row>
    <row r="459" spans="1:35" s="14" customFormat="1" ht="12" customHeight="1" x14ac:dyDescent="0.25">
      <c r="A459" s="9">
        <v>457</v>
      </c>
      <c r="B459" s="14" t="s">
        <v>1209</v>
      </c>
      <c r="C459" s="14" t="s">
        <v>1210</v>
      </c>
      <c r="D459" s="9" t="s">
        <v>31</v>
      </c>
      <c r="E459" s="15" t="str">
        <f>B459</f>
        <v>Diazepam, Intravenous</v>
      </c>
      <c r="F459" s="12">
        <f>DATE(2023,6,22)</f>
        <v>45099</v>
      </c>
      <c r="G459" s="13">
        <v>1963</v>
      </c>
      <c r="H459" s="13">
        <v>1</v>
      </c>
      <c r="I459" s="11" t="s">
        <v>100</v>
      </c>
      <c r="J459" s="15" t="s">
        <v>204</v>
      </c>
    </row>
    <row r="460" spans="1:35" s="14" customFormat="1" ht="12" customHeight="1" x14ac:dyDescent="0.25">
      <c r="A460" s="9">
        <v>458</v>
      </c>
      <c r="B460" s="14" t="s">
        <v>1211</v>
      </c>
      <c r="C460" s="14" t="s">
        <v>1210</v>
      </c>
      <c r="D460" s="9" t="s">
        <v>36</v>
      </c>
      <c r="E460" s="15" t="s">
        <v>1211</v>
      </c>
      <c r="F460" s="12">
        <f>DATE(2023,6,22)</f>
        <v>45099</v>
      </c>
      <c r="G460" s="13">
        <v>1963</v>
      </c>
      <c r="H460" s="13">
        <v>1</v>
      </c>
      <c r="I460" s="11" t="s">
        <v>100</v>
      </c>
      <c r="J460" s="15" t="s">
        <v>204</v>
      </c>
    </row>
    <row r="461" spans="1:35" s="14" customFormat="1" ht="12" customHeight="1" x14ac:dyDescent="0.25">
      <c r="A461" s="9">
        <v>459</v>
      </c>
      <c r="B461" s="14" t="s">
        <v>1212</v>
      </c>
      <c r="C461" s="14" t="s">
        <v>188</v>
      </c>
      <c r="D461" s="9" t="s">
        <v>31</v>
      </c>
      <c r="E461" s="15"/>
      <c r="F461" s="12"/>
      <c r="G461" s="13" t="s">
        <v>63</v>
      </c>
      <c r="H461" s="13">
        <v>0</v>
      </c>
      <c r="I461" s="11" t="s">
        <v>100</v>
      </c>
      <c r="J461" s="15" t="s">
        <v>204</v>
      </c>
    </row>
    <row r="462" spans="1:35" s="14" customFormat="1" ht="12" customHeight="1" x14ac:dyDescent="0.25">
      <c r="A462" s="9">
        <v>460</v>
      </c>
      <c r="B462" s="14" t="s">
        <v>1213</v>
      </c>
      <c r="C462" s="14" t="s">
        <v>1214</v>
      </c>
      <c r="D462" s="9" t="s">
        <v>166</v>
      </c>
      <c r="E462" s="15" t="str">
        <f>B462</f>
        <v>Diclofenac</v>
      </c>
      <c r="F462" s="12">
        <f>DATE(2025,5,28)</f>
        <v>45805</v>
      </c>
      <c r="G462" s="13">
        <v>1988</v>
      </c>
      <c r="H462" s="13">
        <v>1</v>
      </c>
      <c r="I462" s="11" t="s">
        <v>54</v>
      </c>
      <c r="J462" s="15" t="s">
        <v>55</v>
      </c>
    </row>
    <row r="463" spans="1:35" s="14" customFormat="1" ht="12" customHeight="1" x14ac:dyDescent="0.25">
      <c r="A463" s="9">
        <v>461</v>
      </c>
      <c r="B463" s="14" t="s">
        <v>1215</v>
      </c>
      <c r="C463" s="14" t="s">
        <v>1216</v>
      </c>
      <c r="D463" s="9" t="s">
        <v>44</v>
      </c>
      <c r="E463" s="15" t="str">
        <f>B463</f>
        <v>Dicloxacillin</v>
      </c>
      <c r="F463" s="12">
        <f>DATE(2020,10,20)</f>
        <v>44124</v>
      </c>
      <c r="G463" s="13">
        <v>1968</v>
      </c>
      <c r="H463" s="13">
        <v>1</v>
      </c>
      <c r="I463" s="11" t="s">
        <v>15</v>
      </c>
      <c r="J463" s="15" t="s">
        <v>225</v>
      </c>
    </row>
    <row r="464" spans="1:35" s="14" customFormat="1" ht="12" customHeight="1" x14ac:dyDescent="0.25">
      <c r="A464" s="9">
        <v>462</v>
      </c>
      <c r="B464" s="14" t="s">
        <v>1217</v>
      </c>
      <c r="C464" s="14" t="s">
        <v>1218</v>
      </c>
      <c r="D464" s="9" t="s">
        <v>31</v>
      </c>
      <c r="E464" s="15" t="str">
        <f>B464</f>
        <v>Dicyclomine</v>
      </c>
      <c r="F464" s="12">
        <f>DATE(2017,7,7)</f>
        <v>42923</v>
      </c>
      <c r="G464" s="13">
        <v>1996</v>
      </c>
      <c r="H464" s="13">
        <v>1</v>
      </c>
      <c r="I464" s="11" t="s">
        <v>182</v>
      </c>
      <c r="J464" s="15" t="s">
        <v>183</v>
      </c>
    </row>
    <row r="465" spans="1:11" s="14" customFormat="1" ht="12" customHeight="1" x14ac:dyDescent="0.25">
      <c r="A465" s="9">
        <v>463</v>
      </c>
      <c r="B465" s="14" t="s">
        <v>1219</v>
      </c>
      <c r="C465" s="14" t="s">
        <v>1220</v>
      </c>
      <c r="D465" s="9" t="s">
        <v>166</v>
      </c>
      <c r="E465" s="15" t="str">
        <f>B465</f>
        <v>Didanosine</v>
      </c>
      <c r="F465" s="12">
        <f>DATE(2020,7,1)</f>
        <v>44013</v>
      </c>
      <c r="G465" s="13">
        <v>1991</v>
      </c>
      <c r="H465" s="13">
        <v>1</v>
      </c>
      <c r="I465" s="11" t="s">
        <v>15</v>
      </c>
      <c r="J465" s="15" t="s">
        <v>16</v>
      </c>
    </row>
    <row r="466" spans="1:11" s="14" customFormat="1" ht="12" customHeight="1" x14ac:dyDescent="0.25">
      <c r="A466" s="9">
        <v>464</v>
      </c>
      <c r="B466" s="14" t="s">
        <v>1221</v>
      </c>
      <c r="C466" s="14" t="s">
        <v>1222</v>
      </c>
      <c r="D466" s="9" t="s">
        <v>166</v>
      </c>
      <c r="E466" s="15" t="s">
        <v>1223</v>
      </c>
      <c r="F466" s="12">
        <f>DATE(2020,5,28)</f>
        <v>43979</v>
      </c>
      <c r="G466" s="13">
        <v>1947</v>
      </c>
      <c r="H466" s="13">
        <v>1</v>
      </c>
      <c r="I466" s="11" t="s">
        <v>473</v>
      </c>
      <c r="J466" s="15" t="s">
        <v>1173</v>
      </c>
    </row>
    <row r="467" spans="1:11" s="14" customFormat="1" ht="12" customHeight="1" x14ac:dyDescent="0.25">
      <c r="A467" s="9">
        <v>465</v>
      </c>
      <c r="B467" s="14" t="s">
        <v>1224</v>
      </c>
      <c r="C467" s="14" t="s">
        <v>1225</v>
      </c>
      <c r="D467" s="9" t="s">
        <v>166</v>
      </c>
      <c r="E467" s="15" t="s">
        <v>1172</v>
      </c>
      <c r="F467" s="12">
        <f>DATE(2020,6,1)</f>
        <v>43983</v>
      </c>
      <c r="G467" s="13">
        <v>2010</v>
      </c>
      <c r="H467" s="13">
        <v>1</v>
      </c>
      <c r="I467" s="11" t="s">
        <v>473</v>
      </c>
      <c r="J467" s="15" t="s">
        <v>1173</v>
      </c>
    </row>
    <row r="468" spans="1:11" s="14" customFormat="1" ht="12" customHeight="1" x14ac:dyDescent="0.25">
      <c r="A468" s="9">
        <v>466</v>
      </c>
      <c r="B468" s="14" t="s">
        <v>1226</v>
      </c>
      <c r="C468" s="14" t="s">
        <v>1227</v>
      </c>
      <c r="D468" s="9" t="s">
        <v>31</v>
      </c>
      <c r="E468" s="15" t="str">
        <f>B468</f>
        <v>Diethylpropion</v>
      </c>
      <c r="F468" s="12">
        <f>DATE(2018,1,2)</f>
        <v>43102</v>
      </c>
      <c r="G468" s="13">
        <v>1959</v>
      </c>
      <c r="H468" s="13">
        <v>1</v>
      </c>
      <c r="I468" s="11" t="s">
        <v>520</v>
      </c>
      <c r="J468" s="15" t="s">
        <v>521</v>
      </c>
    </row>
    <row r="469" spans="1:11" s="14" customFormat="1" ht="12" customHeight="1" x14ac:dyDescent="0.25">
      <c r="A469" s="9">
        <v>467</v>
      </c>
      <c r="B469" s="14" t="s">
        <v>1228</v>
      </c>
      <c r="C469" s="14" t="s">
        <v>1229</v>
      </c>
      <c r="D469" s="9" t="s">
        <v>31</v>
      </c>
      <c r="E469" s="15" t="s">
        <v>1228</v>
      </c>
      <c r="F469" s="12">
        <f>DATE(2025,1,30)</f>
        <v>45687</v>
      </c>
      <c r="G469" s="16">
        <v>2021</v>
      </c>
      <c r="H469" s="13">
        <v>1</v>
      </c>
      <c r="I469" s="11" t="s">
        <v>390</v>
      </c>
      <c r="J469" s="15" t="s">
        <v>1230</v>
      </c>
    </row>
    <row r="470" spans="1:11" s="14" customFormat="1" ht="12" customHeight="1" x14ac:dyDescent="0.25">
      <c r="A470" s="9">
        <v>468</v>
      </c>
      <c r="B470" s="14" t="s">
        <v>1231</v>
      </c>
      <c r="C470" s="14" t="s">
        <v>1232</v>
      </c>
      <c r="D470" s="9" t="s">
        <v>77</v>
      </c>
      <c r="E470" s="15"/>
      <c r="F470" s="12"/>
      <c r="G470" s="13">
        <v>1982</v>
      </c>
      <c r="H470" s="13">
        <v>0</v>
      </c>
      <c r="I470" s="11" t="s">
        <v>182</v>
      </c>
      <c r="J470" s="15" t="s">
        <v>397</v>
      </c>
    </row>
    <row r="471" spans="1:11" s="14" customFormat="1" ht="12" customHeight="1" x14ac:dyDescent="0.25">
      <c r="A471" s="9">
        <v>469</v>
      </c>
      <c r="B471" s="14" t="s">
        <v>1233</v>
      </c>
      <c r="C471" s="14" t="s">
        <v>1234</v>
      </c>
      <c r="D471" s="9" t="s">
        <v>14</v>
      </c>
      <c r="E471" s="15" t="str">
        <f>B471</f>
        <v>Diflunisal</v>
      </c>
      <c r="F471" s="12">
        <f>DATE(2018,1,2)</f>
        <v>43102</v>
      </c>
      <c r="G471" s="13">
        <v>1982</v>
      </c>
      <c r="H471" s="13">
        <v>1</v>
      </c>
      <c r="I471" s="11" t="s">
        <v>54</v>
      </c>
      <c r="J471" s="15" t="s">
        <v>55</v>
      </c>
    </row>
    <row r="472" spans="1:11" s="14" customFormat="1" ht="12" customHeight="1" x14ac:dyDescent="0.25">
      <c r="A472" s="9">
        <v>470</v>
      </c>
      <c r="B472" s="14" t="s">
        <v>1235</v>
      </c>
      <c r="C472" s="14" t="s">
        <v>1236</v>
      </c>
      <c r="D472" s="9" t="s">
        <v>31</v>
      </c>
      <c r="E472" s="15" t="s">
        <v>1237</v>
      </c>
      <c r="F472" s="12">
        <f>DATE(2018,1,2)</f>
        <v>43102</v>
      </c>
      <c r="G472" s="13" t="s">
        <v>1238</v>
      </c>
      <c r="H472" s="13">
        <v>1</v>
      </c>
      <c r="I472" s="11" t="s">
        <v>49</v>
      </c>
      <c r="J472" s="15" t="s">
        <v>861</v>
      </c>
    </row>
    <row r="473" spans="1:11" s="14" customFormat="1" ht="12" customHeight="1" x14ac:dyDescent="0.25">
      <c r="A473" s="9">
        <v>471</v>
      </c>
      <c r="B473" s="14" t="s">
        <v>1239</v>
      </c>
      <c r="C473" s="14" t="s">
        <v>1240</v>
      </c>
      <c r="D473" s="9" t="s">
        <v>31</v>
      </c>
      <c r="E473" s="15" t="s">
        <v>1237</v>
      </c>
      <c r="F473" s="12">
        <f>DATE(2018,1,2)</f>
        <v>43102</v>
      </c>
      <c r="G473" s="13" t="s">
        <v>1238</v>
      </c>
      <c r="H473" s="13">
        <v>1</v>
      </c>
      <c r="I473" s="11" t="s">
        <v>49</v>
      </c>
      <c r="J473" s="15" t="s">
        <v>861</v>
      </c>
    </row>
    <row r="474" spans="1:11" s="14" customFormat="1" ht="12" customHeight="1" x14ac:dyDescent="0.25">
      <c r="A474" s="9">
        <v>472</v>
      </c>
      <c r="B474" s="14" t="s">
        <v>1241</v>
      </c>
      <c r="C474" s="14" t="s">
        <v>1242</v>
      </c>
      <c r="D474" s="9" t="s">
        <v>31</v>
      </c>
      <c r="E474" s="15" t="s">
        <v>982</v>
      </c>
      <c r="F474" s="12">
        <f>DATE(2019,4,15)</f>
        <v>43570</v>
      </c>
      <c r="G474" s="13" t="s">
        <v>63</v>
      </c>
      <c r="H474" s="13">
        <v>1</v>
      </c>
      <c r="I474" s="11" t="s">
        <v>54</v>
      </c>
      <c r="J474" s="15" t="s">
        <v>984</v>
      </c>
    </row>
    <row r="475" spans="1:11" s="14" customFormat="1" ht="12" customHeight="1" x14ac:dyDescent="0.25">
      <c r="A475" s="9">
        <v>473</v>
      </c>
      <c r="B475" s="14" t="s">
        <v>1243</v>
      </c>
      <c r="C475" s="14" t="s">
        <v>1244</v>
      </c>
      <c r="D475" s="9" t="s">
        <v>31</v>
      </c>
      <c r="E475" s="15" t="s">
        <v>1245</v>
      </c>
      <c r="F475" s="12">
        <f>DATE(2018,1,2)</f>
        <v>43102</v>
      </c>
      <c r="G475" s="13">
        <v>1946</v>
      </c>
      <c r="H475" s="13">
        <v>1</v>
      </c>
      <c r="I475" s="11" t="s">
        <v>100</v>
      </c>
      <c r="J475" s="15" t="s">
        <v>171</v>
      </c>
    </row>
    <row r="476" spans="1:11" s="14" customFormat="1" ht="12" customHeight="1" x14ac:dyDescent="0.25">
      <c r="A476" s="9">
        <v>474</v>
      </c>
      <c r="B476" s="14" t="s">
        <v>1246</v>
      </c>
      <c r="C476" s="14" t="s">
        <v>1247</v>
      </c>
      <c r="D476" s="9" t="s">
        <v>31</v>
      </c>
      <c r="E476" s="15" t="s">
        <v>1246</v>
      </c>
      <c r="F476" s="12">
        <f>DATE(2023,8,23)</f>
        <v>45161</v>
      </c>
      <c r="G476" s="13" t="s">
        <v>174</v>
      </c>
      <c r="H476" s="13">
        <v>1</v>
      </c>
      <c r="I476" s="11" t="s">
        <v>175</v>
      </c>
      <c r="J476" s="15" t="s">
        <v>67</v>
      </c>
      <c r="K476" s="13"/>
    </row>
    <row r="477" spans="1:11" s="14" customFormat="1" ht="12" customHeight="1" x14ac:dyDescent="0.25">
      <c r="A477" s="9">
        <v>475</v>
      </c>
      <c r="B477" s="14" t="s">
        <v>1248</v>
      </c>
      <c r="C477" s="14" t="s">
        <v>1249</v>
      </c>
      <c r="D477" s="9" t="s">
        <v>14</v>
      </c>
      <c r="E477" s="15" t="str">
        <f t="shared" ref="E477:E484" si="9">B477</f>
        <v>Diltiazem</v>
      </c>
      <c r="F477" s="12">
        <f>DATE(2017,1,11)</f>
        <v>42746</v>
      </c>
      <c r="G477" s="13">
        <v>1982</v>
      </c>
      <c r="H477" s="13">
        <v>1</v>
      </c>
      <c r="I477" s="11" t="s">
        <v>49</v>
      </c>
      <c r="J477" s="15" t="s">
        <v>50</v>
      </c>
    </row>
    <row r="478" spans="1:11" s="14" customFormat="1" ht="12" customHeight="1" x14ac:dyDescent="0.25">
      <c r="A478" s="9">
        <v>476</v>
      </c>
      <c r="B478" s="14" t="s">
        <v>1250</v>
      </c>
      <c r="C478" s="14" t="s">
        <v>1251</v>
      </c>
      <c r="D478" s="9" t="s">
        <v>31</v>
      </c>
      <c r="E478" s="15" t="str">
        <f t="shared" si="9"/>
        <v>Dimenhydrinate</v>
      </c>
      <c r="F478" s="12">
        <f>DATE(2017,1,17)</f>
        <v>42752</v>
      </c>
      <c r="G478" s="13">
        <v>2004</v>
      </c>
      <c r="H478" s="13">
        <v>1</v>
      </c>
      <c r="I478" s="11" t="s">
        <v>100</v>
      </c>
      <c r="J478" s="15" t="s">
        <v>204</v>
      </c>
    </row>
    <row r="479" spans="1:11" s="14" customFormat="1" ht="12" customHeight="1" x14ac:dyDescent="0.25">
      <c r="A479" s="9">
        <v>477</v>
      </c>
      <c r="B479" s="14" t="s">
        <v>1252</v>
      </c>
      <c r="C479" s="14" t="s">
        <v>1253</v>
      </c>
      <c r="D479" s="9" t="s">
        <v>31</v>
      </c>
      <c r="E479" s="15" t="str">
        <f t="shared" si="9"/>
        <v>Dimercaprol</v>
      </c>
      <c r="F479" s="12">
        <f>DATE(2018,1,2)</f>
        <v>43102</v>
      </c>
      <c r="G479" s="13">
        <v>1946</v>
      </c>
      <c r="H479" s="13">
        <v>1</v>
      </c>
      <c r="I479" s="11" t="s">
        <v>66</v>
      </c>
      <c r="J479" s="15" t="s">
        <v>1254</v>
      </c>
    </row>
    <row r="480" spans="1:11" s="14" customFormat="1" ht="12" customHeight="1" x14ac:dyDescent="0.25">
      <c r="A480" s="9">
        <v>478</v>
      </c>
      <c r="B480" s="14" t="s">
        <v>1255</v>
      </c>
      <c r="C480" s="14" t="s">
        <v>1256</v>
      </c>
      <c r="D480" s="9" t="s">
        <v>44</v>
      </c>
      <c r="E480" s="15" t="str">
        <f t="shared" si="9"/>
        <v>Dimethyl Fumarate</v>
      </c>
      <c r="F480" s="12">
        <f>DATE(2025,9,20)</f>
        <v>45920</v>
      </c>
      <c r="G480" s="13">
        <v>2013</v>
      </c>
      <c r="H480" s="13">
        <v>1</v>
      </c>
      <c r="I480" s="11" t="s">
        <v>100</v>
      </c>
      <c r="J480" s="15" t="s">
        <v>1076</v>
      </c>
    </row>
    <row r="481" spans="1:35" s="14" customFormat="1" ht="12" customHeight="1" x14ac:dyDescent="0.25">
      <c r="A481" s="9">
        <v>479</v>
      </c>
      <c r="B481" s="14" t="s">
        <v>1257</v>
      </c>
      <c r="C481" s="14" t="s">
        <v>1258</v>
      </c>
      <c r="D481" s="27" t="s">
        <v>23</v>
      </c>
      <c r="E481" s="15" t="str">
        <f t="shared" si="9"/>
        <v>Dinutuximab</v>
      </c>
      <c r="F481" s="12">
        <f>DATE(2018,1,2)</f>
        <v>43102</v>
      </c>
      <c r="G481" s="13">
        <v>2015</v>
      </c>
      <c r="H481" s="13">
        <v>1</v>
      </c>
      <c r="I481" s="11" t="s">
        <v>24</v>
      </c>
      <c r="J481" s="15" t="s">
        <v>1259</v>
      </c>
    </row>
    <row r="482" spans="1:35" s="14" customFormat="1" ht="12" customHeight="1" x14ac:dyDescent="0.25">
      <c r="A482" s="9">
        <v>480</v>
      </c>
      <c r="B482" s="14" t="s">
        <v>1260</v>
      </c>
      <c r="C482" s="14" t="s">
        <v>1261</v>
      </c>
      <c r="D482" s="9" t="s">
        <v>31</v>
      </c>
      <c r="E482" s="15" t="str">
        <f t="shared" si="9"/>
        <v>Diphenhydramine</v>
      </c>
      <c r="F482" s="12">
        <f>DATE(2017,1,17)</f>
        <v>42752</v>
      </c>
      <c r="G482" s="13">
        <v>1946</v>
      </c>
      <c r="H482" s="13">
        <v>1</v>
      </c>
      <c r="I482" s="11" t="s">
        <v>100</v>
      </c>
      <c r="J482" s="15" t="s">
        <v>204</v>
      </c>
    </row>
    <row r="483" spans="1:35" s="14" customFormat="1" ht="12" customHeight="1" x14ac:dyDescent="0.25">
      <c r="A483" s="9">
        <v>481</v>
      </c>
      <c r="B483" s="14" t="s">
        <v>1262</v>
      </c>
      <c r="C483" s="14" t="s">
        <v>1263</v>
      </c>
      <c r="D483" s="9" t="s">
        <v>31</v>
      </c>
      <c r="E483" s="15" t="str">
        <f t="shared" si="9"/>
        <v>Diphenoxylate</v>
      </c>
      <c r="F483" s="12">
        <f>DATE(2019,4,25)</f>
        <v>43580</v>
      </c>
      <c r="G483" s="13">
        <v>1960</v>
      </c>
      <c r="H483" s="13">
        <v>1</v>
      </c>
      <c r="I483" s="11" t="s">
        <v>182</v>
      </c>
      <c r="J483" s="15" t="s">
        <v>397</v>
      </c>
    </row>
    <row r="484" spans="1:35" s="14" customFormat="1" ht="12" customHeight="1" x14ac:dyDescent="0.25">
      <c r="A484" s="9">
        <v>482</v>
      </c>
      <c r="B484" s="14" t="s">
        <v>1264</v>
      </c>
      <c r="C484" s="14" t="s">
        <v>1265</v>
      </c>
      <c r="D484" s="9" t="s">
        <v>23</v>
      </c>
      <c r="E484" s="15" t="str">
        <f t="shared" si="9"/>
        <v>Dipyridamole</v>
      </c>
      <c r="F484" s="12">
        <f>DATE(2018,1,2)</f>
        <v>43102</v>
      </c>
      <c r="G484" s="13">
        <v>1961</v>
      </c>
      <c r="H484" s="13">
        <v>1</v>
      </c>
      <c r="I484" s="11" t="s">
        <v>230</v>
      </c>
      <c r="J484" s="15" t="s">
        <v>709</v>
      </c>
    </row>
    <row r="485" spans="1:35" s="14" customFormat="1" ht="12" customHeight="1" x14ac:dyDescent="0.25">
      <c r="A485" s="9">
        <v>483</v>
      </c>
      <c r="B485" s="14" t="s">
        <v>1266</v>
      </c>
      <c r="C485" s="14" t="s">
        <v>1267</v>
      </c>
      <c r="D485" s="9" t="s">
        <v>23</v>
      </c>
      <c r="E485" s="15" t="s">
        <v>1255</v>
      </c>
      <c r="F485" s="12">
        <f>DATE(2022,9,9)</f>
        <v>44813</v>
      </c>
      <c r="G485" s="13">
        <v>2019</v>
      </c>
      <c r="H485" s="13">
        <v>1</v>
      </c>
      <c r="I485" s="11" t="s">
        <v>100</v>
      </c>
      <c r="J485" s="15" t="s">
        <v>1076</v>
      </c>
    </row>
    <row r="486" spans="1:35" s="14" customFormat="1" ht="12" customHeight="1" x14ac:dyDescent="0.25">
      <c r="A486" s="9">
        <v>484</v>
      </c>
      <c r="B486" s="14" t="s">
        <v>1268</v>
      </c>
      <c r="C486" s="14" t="s">
        <v>1269</v>
      </c>
      <c r="D486" s="9" t="s">
        <v>44</v>
      </c>
      <c r="E486" s="15" t="str">
        <f t="shared" ref="E486:E491" si="10">B486</f>
        <v>Disopyramide</v>
      </c>
      <c r="F486" s="12">
        <f>DATE(2018,1,2)</f>
        <v>43102</v>
      </c>
      <c r="G486" s="13">
        <v>1977</v>
      </c>
      <c r="H486" s="13">
        <v>1</v>
      </c>
      <c r="I486" s="11" t="s">
        <v>49</v>
      </c>
      <c r="J486" s="15" t="s">
        <v>244</v>
      </c>
    </row>
    <row r="487" spans="1:35" s="14" customFormat="1" ht="12" customHeight="1" x14ac:dyDescent="0.25">
      <c r="A487" s="9">
        <v>485</v>
      </c>
      <c r="B487" s="14" t="s">
        <v>1270</v>
      </c>
      <c r="C487" s="14" t="s">
        <v>1271</v>
      </c>
      <c r="D487" s="9" t="s">
        <v>166</v>
      </c>
      <c r="E487" s="15" t="str">
        <f t="shared" si="10"/>
        <v>Disulfiram</v>
      </c>
      <c r="F487" s="12">
        <f>DATE(2021,9,13)</f>
        <v>44452</v>
      </c>
      <c r="G487" s="13">
        <v>1951</v>
      </c>
      <c r="H487" s="13">
        <v>1</v>
      </c>
      <c r="I487" s="11" t="s">
        <v>40</v>
      </c>
      <c r="J487" s="15" t="s">
        <v>41</v>
      </c>
    </row>
    <row r="488" spans="1:35" s="14" customFormat="1" ht="12" customHeight="1" x14ac:dyDescent="0.25">
      <c r="A488" s="9">
        <v>486</v>
      </c>
      <c r="B488" s="14" t="s">
        <v>1272</v>
      </c>
      <c r="C488" s="14" t="s">
        <v>1273</v>
      </c>
      <c r="D488" s="9" t="s">
        <v>14</v>
      </c>
      <c r="E488" s="15" t="str">
        <f t="shared" si="10"/>
        <v>Docetaxel</v>
      </c>
      <c r="F488" s="12">
        <f>DATE(2020,9,7)</f>
        <v>44081</v>
      </c>
      <c r="G488" s="13">
        <v>1996</v>
      </c>
      <c r="H488" s="13">
        <v>1</v>
      </c>
      <c r="I488" s="11" t="s">
        <v>24</v>
      </c>
      <c r="J488" s="15" t="s">
        <v>284</v>
      </c>
    </row>
    <row r="489" spans="1:35" s="14" customFormat="1" ht="12" customHeight="1" x14ac:dyDescent="0.25">
      <c r="A489" s="9">
        <v>487</v>
      </c>
      <c r="B489" s="14" t="s">
        <v>1274</v>
      </c>
      <c r="C489" s="14" t="s">
        <v>1275</v>
      </c>
      <c r="D489" s="9" t="s">
        <v>31</v>
      </c>
      <c r="E489" s="15" t="str">
        <f t="shared" si="10"/>
        <v>Docosahexaenoate</v>
      </c>
      <c r="F489" s="12">
        <f>DATE(2017,4,3)</f>
        <v>42828</v>
      </c>
      <c r="G489" s="13" t="s">
        <v>174</v>
      </c>
      <c r="H489" s="13">
        <v>1</v>
      </c>
      <c r="I489" s="11" t="s">
        <v>190</v>
      </c>
      <c r="J489" s="15" t="s">
        <v>161</v>
      </c>
    </row>
    <row r="490" spans="1:35" s="14" customFormat="1" ht="12" customHeight="1" x14ac:dyDescent="0.25">
      <c r="A490" s="9">
        <v>488</v>
      </c>
      <c r="B490" s="14" t="s">
        <v>1276</v>
      </c>
      <c r="C490" s="14" t="s">
        <v>1277</v>
      </c>
      <c r="D490" s="9" t="s">
        <v>31</v>
      </c>
      <c r="E490" s="15" t="str">
        <f t="shared" si="10"/>
        <v>Docusate</v>
      </c>
      <c r="F490" s="12">
        <f>DATE(2018,1,8)</f>
        <v>43108</v>
      </c>
      <c r="G490" s="13" t="s">
        <v>174</v>
      </c>
      <c r="H490" s="13">
        <v>1</v>
      </c>
      <c r="I490" s="11" t="s">
        <v>182</v>
      </c>
      <c r="J490" s="15" t="s">
        <v>176</v>
      </c>
    </row>
    <row r="491" spans="1:35" s="14" customFormat="1" ht="12" customHeight="1" x14ac:dyDescent="0.25">
      <c r="A491" s="9">
        <v>489</v>
      </c>
      <c r="B491" s="14" t="s">
        <v>1278</v>
      </c>
      <c r="C491" s="14" t="s">
        <v>1279</v>
      </c>
      <c r="D491" s="27" t="s">
        <v>31</v>
      </c>
      <c r="E491" s="15" t="str">
        <f t="shared" si="10"/>
        <v>Dofetilide</v>
      </c>
      <c r="F491" s="12">
        <f>DATE(2016,12,29)</f>
        <v>42733</v>
      </c>
      <c r="G491" s="13">
        <v>1999</v>
      </c>
      <c r="H491" s="13">
        <v>1</v>
      </c>
      <c r="I491" s="11" t="s">
        <v>49</v>
      </c>
      <c r="J491" s="15" t="s">
        <v>244</v>
      </c>
    </row>
    <row r="492" spans="1:35" s="14" customFormat="1" ht="12" customHeight="1" x14ac:dyDescent="0.25">
      <c r="A492" s="9">
        <v>490</v>
      </c>
      <c r="B492" s="14" t="s">
        <v>1280</v>
      </c>
      <c r="C492" s="14" t="s">
        <v>1281</v>
      </c>
      <c r="D492" s="9" t="s">
        <v>31</v>
      </c>
      <c r="E492" s="15" t="s">
        <v>181</v>
      </c>
      <c r="F492" s="12">
        <f>DATE(2018,1,14)</f>
        <v>43114</v>
      </c>
      <c r="G492" s="13">
        <v>1997</v>
      </c>
      <c r="H492" s="13">
        <v>1</v>
      </c>
      <c r="I492" s="11" t="s">
        <v>182</v>
      </c>
      <c r="J492" s="15" t="s">
        <v>318</v>
      </c>
    </row>
    <row r="493" spans="1:35" s="14" customFormat="1" ht="12" customHeight="1" x14ac:dyDescent="0.25">
      <c r="A493" s="9">
        <v>491</v>
      </c>
      <c r="B493" s="14" t="s">
        <v>1282</v>
      </c>
      <c r="C493" s="14" t="s">
        <v>1283</v>
      </c>
      <c r="D493" s="9" t="s">
        <v>36</v>
      </c>
      <c r="E493" s="15" t="str">
        <f>B493</f>
        <v>Dolutegravir</v>
      </c>
      <c r="F493" s="12">
        <f>DATE(2018,1,30)</f>
        <v>43130</v>
      </c>
      <c r="G493" s="13">
        <v>2013</v>
      </c>
      <c r="H493" s="13">
        <v>1</v>
      </c>
      <c r="I493" s="11" t="s">
        <v>15</v>
      </c>
      <c r="J493" s="15" t="s">
        <v>16</v>
      </c>
    </row>
    <row r="494" spans="1:35" s="14" customFormat="1" ht="12" customHeight="1" x14ac:dyDescent="0.25">
      <c r="A494" s="9">
        <v>492</v>
      </c>
      <c r="B494" s="14" t="s">
        <v>1284</v>
      </c>
      <c r="C494" s="14" t="s">
        <v>1285</v>
      </c>
      <c r="D494" s="9" t="s">
        <v>77</v>
      </c>
      <c r="E494" s="15"/>
      <c r="F494" s="12"/>
      <c r="G494" s="13" t="s">
        <v>512</v>
      </c>
      <c r="H494" s="13">
        <v>0</v>
      </c>
      <c r="I494" s="11" t="s">
        <v>182</v>
      </c>
      <c r="J494" s="15" t="s">
        <v>927</v>
      </c>
    </row>
    <row r="495" spans="1:35" s="14" customFormat="1" ht="12" customHeight="1" x14ac:dyDescent="0.25">
      <c r="A495" s="9">
        <v>493</v>
      </c>
      <c r="B495" s="15" t="s">
        <v>1286</v>
      </c>
      <c r="C495" s="14" t="s">
        <v>1287</v>
      </c>
      <c r="D495" s="9" t="s">
        <v>31</v>
      </c>
      <c r="E495" s="15" t="s">
        <v>1286</v>
      </c>
      <c r="F495" s="12">
        <f>DATE(2024,10,3)</f>
        <v>45568</v>
      </c>
      <c r="G495" s="13">
        <v>2024</v>
      </c>
      <c r="H495" s="13">
        <v>1</v>
      </c>
      <c r="I495" s="11" t="s">
        <v>100</v>
      </c>
      <c r="J495" s="15" t="s">
        <v>1288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s="14" customFormat="1" ht="12" customHeight="1" x14ac:dyDescent="0.25">
      <c r="A496" s="9">
        <v>494</v>
      </c>
      <c r="B496" s="14" t="s">
        <v>1289</v>
      </c>
      <c r="C496" s="14" t="s">
        <v>1290</v>
      </c>
      <c r="D496" s="9" t="s">
        <v>36</v>
      </c>
      <c r="E496" s="15" t="str">
        <f>B496</f>
        <v>Donepezil</v>
      </c>
      <c r="F496" s="12">
        <f>DATE(2020,1,15)</f>
        <v>43845</v>
      </c>
      <c r="G496" s="13">
        <v>1996</v>
      </c>
      <c r="H496" s="13">
        <v>1</v>
      </c>
      <c r="I496" s="11" t="s">
        <v>100</v>
      </c>
      <c r="J496" s="15" t="s">
        <v>101</v>
      </c>
    </row>
    <row r="497" spans="1:35" s="14" customFormat="1" ht="12" customHeight="1" x14ac:dyDescent="0.3">
      <c r="A497" s="9">
        <v>495</v>
      </c>
      <c r="B497" s="14" t="s">
        <v>1291</v>
      </c>
      <c r="C497" s="14" t="s">
        <v>1292</v>
      </c>
      <c r="D497" s="9" t="s">
        <v>77</v>
      </c>
      <c r="E497" s="14" t="s">
        <v>1291</v>
      </c>
      <c r="F497" s="9"/>
      <c r="G497" s="13">
        <v>2025</v>
      </c>
      <c r="H497" s="16">
        <v>0</v>
      </c>
      <c r="I497" s="10" t="s">
        <v>230</v>
      </c>
      <c r="J497" s="14" t="s">
        <v>527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</row>
    <row r="498" spans="1:35" s="14" customFormat="1" ht="12" customHeight="1" x14ac:dyDescent="0.3">
      <c r="A498" s="9">
        <v>496</v>
      </c>
      <c r="B498" s="14" t="s">
        <v>1293</v>
      </c>
      <c r="C498" s="23" t="s">
        <v>1294</v>
      </c>
      <c r="D498" s="13" t="s">
        <v>23</v>
      </c>
      <c r="E498" s="15" t="str">
        <f>B498</f>
        <v>Doravirine</v>
      </c>
      <c r="F498" s="20">
        <f>DATE(2018,12,18)</f>
        <v>43452</v>
      </c>
      <c r="G498" s="13">
        <v>2018</v>
      </c>
      <c r="H498" s="13">
        <v>1</v>
      </c>
      <c r="I498" s="15" t="s">
        <v>15</v>
      </c>
      <c r="J498" s="15" t="s">
        <v>16</v>
      </c>
    </row>
    <row r="499" spans="1:35" s="10" customFormat="1" ht="12" customHeight="1" x14ac:dyDescent="0.3">
      <c r="A499" s="9">
        <v>497</v>
      </c>
      <c r="B499" s="10" t="s">
        <v>1295</v>
      </c>
      <c r="C499" s="10" t="s">
        <v>1296</v>
      </c>
      <c r="D499" s="9" t="s">
        <v>77</v>
      </c>
      <c r="E499" s="10" t="s">
        <v>1295</v>
      </c>
      <c r="F499" s="9"/>
      <c r="G499" s="9">
        <v>2025</v>
      </c>
      <c r="H499" s="27">
        <v>0</v>
      </c>
      <c r="I499" s="10" t="s">
        <v>24</v>
      </c>
      <c r="J499" s="10" t="s">
        <v>1297</v>
      </c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</row>
    <row r="500" spans="1:35" s="14" customFormat="1" ht="12" customHeight="1" x14ac:dyDescent="0.25">
      <c r="A500" s="9">
        <v>498</v>
      </c>
      <c r="B500" s="14" t="s">
        <v>1298</v>
      </c>
      <c r="C500" s="14" t="s">
        <v>1299</v>
      </c>
      <c r="D500" s="9" t="s">
        <v>23</v>
      </c>
      <c r="E500" s="15" t="str">
        <f>B500</f>
        <v>Doripenem</v>
      </c>
      <c r="F500" s="12">
        <f>DATE(2017,1,15)</f>
        <v>42750</v>
      </c>
      <c r="G500" s="13">
        <v>2007</v>
      </c>
      <c r="H500" s="13">
        <v>1</v>
      </c>
      <c r="I500" s="11" t="s">
        <v>15</v>
      </c>
      <c r="J500" s="15" t="s">
        <v>225</v>
      </c>
    </row>
    <row r="501" spans="1:35" s="14" customFormat="1" ht="12" customHeight="1" x14ac:dyDescent="0.25">
      <c r="A501" s="9">
        <v>499</v>
      </c>
      <c r="B501" s="14" t="s">
        <v>1300</v>
      </c>
      <c r="C501" s="14" t="s">
        <v>1301</v>
      </c>
      <c r="D501" s="9" t="s">
        <v>14</v>
      </c>
      <c r="E501" s="15" t="s">
        <v>1300</v>
      </c>
      <c r="F501" s="12">
        <f>DATE(2022,6,8)</f>
        <v>44720</v>
      </c>
      <c r="G501" s="13">
        <v>2021</v>
      </c>
      <c r="H501" s="13">
        <v>1</v>
      </c>
      <c r="I501" s="11" t="s">
        <v>24</v>
      </c>
      <c r="J501" s="15" t="s">
        <v>1302</v>
      </c>
    </row>
    <row r="502" spans="1:35" s="14" customFormat="1" ht="12" customHeight="1" x14ac:dyDescent="0.25">
      <c r="A502" s="9">
        <v>500</v>
      </c>
      <c r="B502" s="14" t="s">
        <v>1303</v>
      </c>
      <c r="C502" s="14" t="s">
        <v>1304</v>
      </c>
      <c r="D502" s="9" t="s">
        <v>23</v>
      </c>
      <c r="E502" s="15" t="str">
        <f>B502</f>
        <v>Doxazosin</v>
      </c>
      <c r="F502" s="12">
        <f>DATE(2018,1,5)</f>
        <v>43105</v>
      </c>
      <c r="G502" s="13">
        <v>1990</v>
      </c>
      <c r="H502" s="13">
        <v>1</v>
      </c>
      <c r="I502" s="11" t="s">
        <v>49</v>
      </c>
      <c r="J502" s="15" t="s">
        <v>50</v>
      </c>
    </row>
    <row r="503" spans="1:35" s="14" customFormat="1" ht="12" customHeight="1" x14ac:dyDescent="0.3">
      <c r="A503" s="9">
        <v>501</v>
      </c>
      <c r="B503" s="14" t="s">
        <v>1305</v>
      </c>
      <c r="C503" s="14" t="s">
        <v>1306</v>
      </c>
      <c r="D503" s="9" t="s">
        <v>77</v>
      </c>
      <c r="E503" s="14" t="s">
        <v>1305</v>
      </c>
      <c r="F503" s="9"/>
      <c r="G503" s="13">
        <v>2025</v>
      </c>
      <c r="H503" s="16">
        <v>0</v>
      </c>
      <c r="I503" s="10" t="s">
        <v>104</v>
      </c>
      <c r="J503" s="14" t="s">
        <v>1307</v>
      </c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</row>
    <row r="504" spans="1:35" s="14" customFormat="1" ht="12" customHeight="1" x14ac:dyDescent="0.25">
      <c r="A504" s="9">
        <v>502</v>
      </c>
      <c r="B504" s="14" t="s">
        <v>1308</v>
      </c>
      <c r="C504" s="14" t="s">
        <v>1309</v>
      </c>
      <c r="D504" s="9" t="s">
        <v>14</v>
      </c>
      <c r="E504" s="15" t="str">
        <f>B504</f>
        <v>Doxepin</v>
      </c>
      <c r="F504" s="12">
        <f>DATE(2018,1,5)</f>
        <v>43105</v>
      </c>
      <c r="G504" s="13">
        <v>1969</v>
      </c>
      <c r="H504" s="13">
        <v>1</v>
      </c>
      <c r="I504" s="11" t="s">
        <v>100</v>
      </c>
      <c r="J504" s="15" t="s">
        <v>250</v>
      </c>
    </row>
    <row r="505" spans="1:35" s="14" customFormat="1" ht="12" customHeight="1" x14ac:dyDescent="0.25">
      <c r="A505" s="9">
        <v>503</v>
      </c>
      <c r="B505" s="14" t="s">
        <v>1310</v>
      </c>
      <c r="C505" s="14" t="s">
        <v>1311</v>
      </c>
      <c r="D505" s="9" t="s">
        <v>44</v>
      </c>
      <c r="E505" s="15" t="str">
        <f>B505</f>
        <v>Doxorubicin</v>
      </c>
      <c r="F505" s="12">
        <f>DATE(2018,1,14)</f>
        <v>43114</v>
      </c>
      <c r="G505" s="13">
        <v>1974</v>
      </c>
      <c r="H505" s="13">
        <v>1</v>
      </c>
      <c r="I505" s="11" t="s">
        <v>24</v>
      </c>
      <c r="J505" s="15" t="s">
        <v>207</v>
      </c>
    </row>
    <row r="506" spans="1:35" s="14" customFormat="1" ht="12" customHeight="1" x14ac:dyDescent="0.25">
      <c r="A506" s="9">
        <v>504</v>
      </c>
      <c r="B506" s="14" t="s">
        <v>1312</v>
      </c>
      <c r="C506" s="14" t="s">
        <v>1313</v>
      </c>
      <c r="D506" s="9" t="s">
        <v>44</v>
      </c>
      <c r="E506" s="15" t="str">
        <f>B506</f>
        <v>Doxycycline</v>
      </c>
      <c r="F506" s="12">
        <f>DATE(2019,1,20)</f>
        <v>43485</v>
      </c>
      <c r="G506" s="13">
        <v>1967</v>
      </c>
      <c r="H506" s="13">
        <v>1</v>
      </c>
      <c r="I506" s="11" t="s">
        <v>15</v>
      </c>
      <c r="J506" s="15" t="s">
        <v>225</v>
      </c>
    </row>
    <row r="507" spans="1:35" s="14" customFormat="1" ht="12" customHeight="1" x14ac:dyDescent="0.25">
      <c r="A507" s="9">
        <v>505</v>
      </c>
      <c r="B507" s="14" t="s">
        <v>1314</v>
      </c>
      <c r="C507" s="14" t="s">
        <v>1315</v>
      </c>
      <c r="D507" s="9" t="s">
        <v>31</v>
      </c>
      <c r="E507" s="15" t="str">
        <f>B507</f>
        <v>Doxylamine</v>
      </c>
      <c r="F507" s="12">
        <f>DATE(2017,1,17)</f>
        <v>42752</v>
      </c>
      <c r="G507" s="13">
        <v>1948</v>
      </c>
      <c r="H507" s="13">
        <v>1</v>
      </c>
      <c r="I507" s="11" t="s">
        <v>100</v>
      </c>
      <c r="J507" s="15" t="s">
        <v>204</v>
      </c>
    </row>
    <row r="508" spans="1:35" s="14" customFormat="1" ht="12" customHeight="1" x14ac:dyDescent="0.25">
      <c r="A508" s="9">
        <v>506</v>
      </c>
      <c r="B508" s="14" t="s">
        <v>1316</v>
      </c>
      <c r="C508" s="14" t="s">
        <v>188</v>
      </c>
      <c r="D508" s="9" t="s">
        <v>31</v>
      </c>
      <c r="E508" s="15" t="s">
        <v>1316</v>
      </c>
      <c r="F508" s="12">
        <f>DATE(2024,6,4)</f>
        <v>45447</v>
      </c>
      <c r="G508" s="13" t="s">
        <v>174</v>
      </c>
      <c r="H508" s="13">
        <v>1</v>
      </c>
      <c r="I508" s="11" t="s">
        <v>175</v>
      </c>
      <c r="J508" s="15" t="s">
        <v>1317</v>
      </c>
      <c r="K508" s="13"/>
    </row>
    <row r="509" spans="1:35" s="14" customFormat="1" ht="12" customHeight="1" x14ac:dyDescent="0.25">
      <c r="A509" s="9">
        <v>507</v>
      </c>
      <c r="B509" s="14" t="s">
        <v>1318</v>
      </c>
      <c r="C509" s="14" t="s">
        <v>1319</v>
      </c>
      <c r="D509" s="9" t="s">
        <v>31</v>
      </c>
      <c r="E509" s="15" t="str">
        <f>B509</f>
        <v>Dronabinol</v>
      </c>
      <c r="F509" s="12">
        <f>DATE(2018,1,22)</f>
        <v>43122</v>
      </c>
      <c r="G509" s="13">
        <v>1985</v>
      </c>
      <c r="H509" s="13">
        <v>1</v>
      </c>
      <c r="I509" s="11" t="s">
        <v>182</v>
      </c>
      <c r="J509" s="15" t="s">
        <v>318</v>
      </c>
    </row>
    <row r="510" spans="1:35" s="14" customFormat="1" ht="12" customHeight="1" x14ac:dyDescent="0.25">
      <c r="A510" s="9">
        <v>508</v>
      </c>
      <c r="B510" s="14" t="s">
        <v>1320</v>
      </c>
      <c r="C510" s="14" t="s">
        <v>1321</v>
      </c>
      <c r="D510" s="9" t="s">
        <v>14</v>
      </c>
      <c r="E510" s="15" t="str">
        <f>B510</f>
        <v>Dronedarone</v>
      </c>
      <c r="F510" s="12">
        <f>DATE(2018,1,5)</f>
        <v>43105</v>
      </c>
      <c r="G510" s="13">
        <v>2009</v>
      </c>
      <c r="H510" s="13">
        <v>1</v>
      </c>
      <c r="I510" s="11" t="s">
        <v>49</v>
      </c>
      <c r="J510" s="15" t="s">
        <v>244</v>
      </c>
    </row>
    <row r="511" spans="1:35" s="14" customFormat="1" ht="12" customHeight="1" x14ac:dyDescent="0.25">
      <c r="A511" s="9">
        <v>509</v>
      </c>
      <c r="B511" s="14" t="s">
        <v>1322</v>
      </c>
      <c r="C511" s="14" t="s">
        <v>1323</v>
      </c>
      <c r="D511" s="9" t="s">
        <v>77</v>
      </c>
      <c r="E511" s="15"/>
      <c r="F511" s="12"/>
      <c r="G511" s="13">
        <v>1970</v>
      </c>
      <c r="H511" s="13">
        <v>0</v>
      </c>
      <c r="I511" s="11" t="s">
        <v>182</v>
      </c>
      <c r="J511" s="15" t="s">
        <v>318</v>
      </c>
    </row>
    <row r="512" spans="1:35" s="14" customFormat="1" ht="12" customHeight="1" x14ac:dyDescent="0.25">
      <c r="A512" s="9">
        <v>510</v>
      </c>
      <c r="B512" s="14" t="s">
        <v>1324</v>
      </c>
      <c r="C512" s="14" t="s">
        <v>1325</v>
      </c>
      <c r="D512" s="9" t="s">
        <v>166</v>
      </c>
      <c r="E512" s="15" t="s">
        <v>1172</v>
      </c>
      <c r="F512" s="12">
        <f>DATE(2020,6,1)</f>
        <v>43983</v>
      </c>
      <c r="G512" s="13">
        <v>2001</v>
      </c>
      <c r="H512" s="13">
        <v>1</v>
      </c>
      <c r="I512" s="11" t="s">
        <v>473</v>
      </c>
      <c r="J512" s="15" t="s">
        <v>1173</v>
      </c>
    </row>
    <row r="513" spans="1:35" s="14" customFormat="1" ht="12" customHeight="1" x14ac:dyDescent="0.25">
      <c r="A513" s="9">
        <v>511</v>
      </c>
      <c r="B513" s="14" t="s">
        <v>1326</v>
      </c>
      <c r="C513" s="14" t="s">
        <v>1327</v>
      </c>
      <c r="D513" s="9" t="s">
        <v>31</v>
      </c>
      <c r="E513" s="15" t="str">
        <f>B513</f>
        <v>Drotrecogin</v>
      </c>
      <c r="F513" s="12">
        <f>DATE(2018,1,9)</f>
        <v>43109</v>
      </c>
      <c r="G513" s="13">
        <v>2001</v>
      </c>
      <c r="H513" s="13">
        <v>1</v>
      </c>
      <c r="I513" s="11" t="s">
        <v>15</v>
      </c>
      <c r="J513" s="15" t="s">
        <v>225</v>
      </c>
    </row>
    <row r="514" spans="1:35" s="14" customFormat="1" ht="12" customHeight="1" x14ac:dyDescent="0.25">
      <c r="A514" s="9">
        <v>512</v>
      </c>
      <c r="B514" s="14" t="s">
        <v>1328</v>
      </c>
      <c r="C514" s="14" t="s">
        <v>1329</v>
      </c>
      <c r="D514" s="9" t="s">
        <v>31</v>
      </c>
      <c r="E514" s="15" t="str">
        <f>B514</f>
        <v>Droxidopa</v>
      </c>
      <c r="F514" s="12">
        <f>DATE(2017,4,15)</f>
        <v>42840</v>
      </c>
      <c r="G514" s="13">
        <v>2014</v>
      </c>
      <c r="H514" s="13">
        <v>1</v>
      </c>
      <c r="I514" s="11" t="s">
        <v>100</v>
      </c>
      <c r="J514" s="15" t="s">
        <v>210</v>
      </c>
    </row>
    <row r="515" spans="1:35" s="14" customFormat="1" ht="12" customHeight="1" x14ac:dyDescent="0.25">
      <c r="A515" s="9">
        <v>513</v>
      </c>
      <c r="B515" s="14" t="s">
        <v>1330</v>
      </c>
      <c r="C515" s="14" t="s">
        <v>1331</v>
      </c>
      <c r="D515" s="9" t="s">
        <v>31</v>
      </c>
      <c r="E515" s="15" t="str">
        <f>B515</f>
        <v>Dulaglutide</v>
      </c>
      <c r="F515" s="12">
        <f>DATE(2017,5,1)</f>
        <v>42856</v>
      </c>
      <c r="G515" s="13">
        <v>2014</v>
      </c>
      <c r="H515" s="13">
        <v>1</v>
      </c>
      <c r="I515" s="11" t="s">
        <v>45</v>
      </c>
      <c r="J515" s="15" t="s">
        <v>46</v>
      </c>
    </row>
    <row r="516" spans="1:35" s="14" customFormat="1" ht="12" customHeight="1" x14ac:dyDescent="0.25">
      <c r="A516" s="9">
        <v>514</v>
      </c>
      <c r="B516" s="14" t="s">
        <v>1332</v>
      </c>
      <c r="C516" s="14" t="s">
        <v>1333</v>
      </c>
      <c r="D516" s="9" t="s">
        <v>44</v>
      </c>
      <c r="E516" s="15" t="str">
        <f>B516</f>
        <v>Duloxetine</v>
      </c>
      <c r="F516" s="12">
        <f>DATE(2018,1,8)</f>
        <v>43108</v>
      </c>
      <c r="G516" s="13">
        <v>2004</v>
      </c>
      <c r="H516" s="13">
        <v>1</v>
      </c>
      <c r="I516" s="11" t="s">
        <v>100</v>
      </c>
      <c r="J516" s="15" t="s">
        <v>250</v>
      </c>
    </row>
    <row r="517" spans="1:35" s="14" customFormat="1" ht="12" customHeight="1" x14ac:dyDescent="0.25">
      <c r="A517" s="9">
        <v>515</v>
      </c>
      <c r="B517" s="14" t="s">
        <v>1334</v>
      </c>
      <c r="C517" s="14" t="s">
        <v>1335</v>
      </c>
      <c r="D517" s="9" t="s">
        <v>31</v>
      </c>
      <c r="E517" s="15" t="str">
        <f>B517</f>
        <v>Dupilumab</v>
      </c>
      <c r="F517" s="12">
        <f>DATE(2018,8,1)</f>
        <v>43313</v>
      </c>
      <c r="G517" s="13">
        <v>2017</v>
      </c>
      <c r="H517" s="13">
        <v>1</v>
      </c>
      <c r="I517" s="11" t="s">
        <v>32</v>
      </c>
      <c r="J517" s="15" t="s">
        <v>33</v>
      </c>
    </row>
    <row r="518" spans="1:35" s="14" customFormat="1" ht="12" customHeight="1" x14ac:dyDescent="0.25">
      <c r="A518" s="9">
        <v>516</v>
      </c>
      <c r="B518" s="14" t="s">
        <v>1336</v>
      </c>
      <c r="C518" s="14" t="s">
        <v>1337</v>
      </c>
      <c r="D518" s="9" t="s">
        <v>77</v>
      </c>
      <c r="E518" s="14" t="s">
        <v>1336</v>
      </c>
      <c r="F518" s="12"/>
      <c r="G518" s="13">
        <v>2023</v>
      </c>
      <c r="H518" s="13">
        <v>0</v>
      </c>
      <c r="I518" s="11" t="s">
        <v>15</v>
      </c>
      <c r="J518" s="15" t="s">
        <v>1338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s="14" customFormat="1" ht="12" customHeight="1" x14ac:dyDescent="0.25">
      <c r="A519" s="9">
        <v>517</v>
      </c>
      <c r="B519" s="14" t="s">
        <v>1339</v>
      </c>
      <c r="C519" s="14" t="s">
        <v>1340</v>
      </c>
      <c r="D519" s="9" t="s">
        <v>44</v>
      </c>
      <c r="E519" s="15" t="str">
        <f>B519</f>
        <v>Durvalumab</v>
      </c>
      <c r="F519" s="12">
        <f>DATE(2022,6,23)</f>
        <v>44735</v>
      </c>
      <c r="G519" s="13">
        <v>2017</v>
      </c>
      <c r="H519" s="13">
        <v>1</v>
      </c>
      <c r="I519" s="11" t="s">
        <v>24</v>
      </c>
      <c r="J519" s="15" t="s">
        <v>624</v>
      </c>
    </row>
    <row r="520" spans="1:35" s="14" customFormat="1" ht="12" customHeight="1" x14ac:dyDescent="0.25">
      <c r="A520" s="9">
        <v>518</v>
      </c>
      <c r="B520" s="14" t="s">
        <v>1341</v>
      </c>
      <c r="C520" s="14" t="s">
        <v>1342</v>
      </c>
      <c r="D520" s="9" t="s">
        <v>31</v>
      </c>
      <c r="E520" s="15" t="str">
        <f>B520</f>
        <v>Dutasteride</v>
      </c>
      <c r="F520" s="12">
        <f>DATE(2018,1,8)</f>
        <v>43108</v>
      </c>
      <c r="G520" s="13">
        <v>2001</v>
      </c>
      <c r="H520" s="13">
        <v>1</v>
      </c>
      <c r="I520" s="11" t="s">
        <v>151</v>
      </c>
      <c r="J520" s="15" t="s">
        <v>152</v>
      </c>
    </row>
    <row r="521" spans="1:35" s="14" customFormat="1" ht="12" customHeight="1" x14ac:dyDescent="0.3">
      <c r="A521" s="9">
        <v>519</v>
      </c>
      <c r="B521" s="14" t="s">
        <v>1343</v>
      </c>
      <c r="C521" s="23" t="s">
        <v>1344</v>
      </c>
      <c r="D521" s="9" t="s">
        <v>23</v>
      </c>
      <c r="E521" s="15" t="str">
        <f>B521</f>
        <v>Duvelisib</v>
      </c>
      <c r="F521" s="12">
        <f>DATE(2022,5,24)</f>
        <v>44705</v>
      </c>
      <c r="G521" s="13">
        <v>2018</v>
      </c>
      <c r="H521" s="13">
        <v>1</v>
      </c>
      <c r="I521" s="11" t="s">
        <v>24</v>
      </c>
      <c r="J521" s="15" t="s">
        <v>1345</v>
      </c>
    </row>
    <row r="522" spans="1:35" s="14" customFormat="1" ht="12" customHeight="1" x14ac:dyDescent="0.25">
      <c r="A522" s="9">
        <v>520</v>
      </c>
      <c r="B522" s="14" t="s">
        <v>1346</v>
      </c>
      <c r="C522" s="14" t="s">
        <v>1347</v>
      </c>
      <c r="D522" s="9" t="s">
        <v>166</v>
      </c>
      <c r="E522" s="15" t="s">
        <v>1172</v>
      </c>
      <c r="F522" s="12">
        <f>DATE(2020,6,24)</f>
        <v>44006</v>
      </c>
      <c r="G522" s="13">
        <v>1961</v>
      </c>
      <c r="H522" s="13">
        <v>1</v>
      </c>
      <c r="I522" s="11" t="s">
        <v>473</v>
      </c>
      <c r="J522" s="15" t="s">
        <v>1173</v>
      </c>
    </row>
    <row r="523" spans="1:35" s="14" customFormat="1" ht="12" customHeight="1" x14ac:dyDescent="0.25">
      <c r="A523" s="9">
        <v>521</v>
      </c>
      <c r="B523" s="14" t="s">
        <v>1348</v>
      </c>
      <c r="C523" s="14" t="s">
        <v>1349</v>
      </c>
      <c r="D523" s="9" t="s">
        <v>31</v>
      </c>
      <c r="E523" s="15"/>
      <c r="F523" s="12"/>
      <c r="G523" s="13">
        <v>1951</v>
      </c>
      <c r="H523" s="13">
        <v>0</v>
      </c>
      <c r="I523" s="11" t="s">
        <v>73</v>
      </c>
      <c r="J523" s="15" t="s">
        <v>74</v>
      </c>
    </row>
    <row r="524" spans="1:35" s="14" customFormat="1" ht="12" customHeight="1" x14ac:dyDescent="0.25">
      <c r="A524" s="9">
        <v>522</v>
      </c>
      <c r="B524" s="14" t="s">
        <v>1350</v>
      </c>
      <c r="C524" s="14" t="s">
        <v>1351</v>
      </c>
      <c r="D524" s="9" t="s">
        <v>36</v>
      </c>
      <c r="E524" s="15" t="str">
        <f t="shared" ref="E524:E529" si="11">B524</f>
        <v xml:space="preserve">Echinacea </v>
      </c>
      <c r="F524" s="12">
        <f>DATE(2019,3,8)</f>
        <v>43532</v>
      </c>
      <c r="G524" s="13" t="s">
        <v>174</v>
      </c>
      <c r="H524" s="13">
        <v>1</v>
      </c>
      <c r="I524" s="11" t="s">
        <v>175</v>
      </c>
      <c r="J524" s="15" t="s">
        <v>85</v>
      </c>
    </row>
    <row r="525" spans="1:35" s="14" customFormat="1" ht="12" customHeight="1" x14ac:dyDescent="0.25">
      <c r="A525" s="9">
        <v>523</v>
      </c>
      <c r="B525" s="14" t="s">
        <v>1352</v>
      </c>
      <c r="C525" s="14" t="s">
        <v>1353</v>
      </c>
      <c r="D525" s="9" t="s">
        <v>36</v>
      </c>
      <c r="E525" s="15" t="str">
        <f t="shared" si="11"/>
        <v>Eculizumab</v>
      </c>
      <c r="F525" s="12">
        <f>DATE(2017,3,25)</f>
        <v>42819</v>
      </c>
      <c r="G525" s="13">
        <v>2007</v>
      </c>
      <c r="H525" s="13">
        <v>1</v>
      </c>
      <c r="I525" s="11" t="s">
        <v>230</v>
      </c>
      <c r="J525" s="15" t="s">
        <v>1354</v>
      </c>
    </row>
    <row r="526" spans="1:35" s="14" customFormat="1" ht="12" customHeight="1" x14ac:dyDescent="0.25">
      <c r="A526" s="9">
        <v>524</v>
      </c>
      <c r="B526" s="14" t="s">
        <v>1355</v>
      </c>
      <c r="C526" s="14" t="s">
        <v>1356</v>
      </c>
      <c r="D526" s="9" t="s">
        <v>31</v>
      </c>
      <c r="E526" s="15" t="str">
        <f t="shared" si="11"/>
        <v>Edaravone</v>
      </c>
      <c r="F526" s="12">
        <f>DATE(2019,3,8)</f>
        <v>43532</v>
      </c>
      <c r="G526" s="13">
        <v>2017</v>
      </c>
      <c r="H526" s="13">
        <v>1</v>
      </c>
      <c r="I526" s="11" t="s">
        <v>100</v>
      </c>
      <c r="J526" s="15" t="s">
        <v>1357</v>
      </c>
    </row>
    <row r="527" spans="1:35" s="14" customFormat="1" ht="12" customHeight="1" x14ac:dyDescent="0.25">
      <c r="A527" s="9">
        <v>525</v>
      </c>
      <c r="B527" s="14" t="s">
        <v>1358</v>
      </c>
      <c r="C527" s="14" t="s">
        <v>1359</v>
      </c>
      <c r="D527" s="9" t="s">
        <v>36</v>
      </c>
      <c r="E527" s="15" t="str">
        <f t="shared" si="11"/>
        <v>Edoxaban</v>
      </c>
      <c r="F527" s="12">
        <f>DATE(2023,2,16)</f>
        <v>44973</v>
      </c>
      <c r="G527" s="13">
        <v>2015</v>
      </c>
      <c r="H527" s="13">
        <v>1</v>
      </c>
      <c r="I527" s="11" t="s">
        <v>230</v>
      </c>
      <c r="J527" s="15" t="s">
        <v>308</v>
      </c>
    </row>
    <row r="528" spans="1:35" s="10" customFormat="1" ht="12" customHeight="1" x14ac:dyDescent="0.25">
      <c r="A528" s="9">
        <v>526</v>
      </c>
      <c r="B528" s="10" t="s">
        <v>1360</v>
      </c>
      <c r="C528" s="10" t="s">
        <v>1361</v>
      </c>
      <c r="D528" s="9" t="s">
        <v>36</v>
      </c>
      <c r="E528" s="15" t="str">
        <f t="shared" si="11"/>
        <v>Efalizumab</v>
      </c>
      <c r="F528" s="12">
        <f>DATE(2018,2,10)</f>
        <v>43141</v>
      </c>
      <c r="G528" s="9">
        <v>2003</v>
      </c>
      <c r="H528" s="9">
        <v>1</v>
      </c>
      <c r="I528" s="11" t="s">
        <v>32</v>
      </c>
      <c r="J528" s="11" t="s">
        <v>70</v>
      </c>
    </row>
    <row r="529" spans="1:35" s="14" customFormat="1" ht="12" customHeight="1" x14ac:dyDescent="0.25">
      <c r="A529" s="9">
        <v>527</v>
      </c>
      <c r="B529" s="14" t="s">
        <v>1362</v>
      </c>
      <c r="C529" s="14" t="s">
        <v>1363</v>
      </c>
      <c r="D529" s="13" t="s">
        <v>166</v>
      </c>
      <c r="E529" s="15" t="str">
        <f t="shared" si="11"/>
        <v>Efavirenz</v>
      </c>
      <c r="F529" s="12">
        <f>DATE(2018,2,10)</f>
        <v>43141</v>
      </c>
      <c r="G529" s="13">
        <v>1998</v>
      </c>
      <c r="H529" s="13">
        <v>1</v>
      </c>
      <c r="I529" s="15" t="s">
        <v>15</v>
      </c>
      <c r="J529" s="15" t="s">
        <v>16</v>
      </c>
    </row>
    <row r="530" spans="1:35" s="14" customFormat="1" ht="12" customHeight="1" x14ac:dyDescent="0.25">
      <c r="A530" s="9">
        <v>528</v>
      </c>
      <c r="B530" s="14" t="s">
        <v>1364</v>
      </c>
      <c r="C530" s="14" t="s">
        <v>1365</v>
      </c>
      <c r="D530" s="13" t="s">
        <v>77</v>
      </c>
      <c r="E530" s="14" t="s">
        <v>1364</v>
      </c>
      <c r="F530" s="12"/>
      <c r="G530" s="13">
        <v>2023</v>
      </c>
      <c r="H530" s="13">
        <v>0</v>
      </c>
      <c r="I530" s="15" t="s">
        <v>24</v>
      </c>
      <c r="J530" s="15" t="s">
        <v>1366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s="14" customFormat="1" ht="12" customHeight="1" x14ac:dyDescent="0.25">
      <c r="A531" s="9">
        <v>529</v>
      </c>
      <c r="B531" s="14" t="s">
        <v>1367</v>
      </c>
      <c r="C531" s="14" t="s">
        <v>1368</v>
      </c>
      <c r="D531" s="13" t="s">
        <v>31</v>
      </c>
      <c r="E531" s="14" t="s">
        <v>1367</v>
      </c>
      <c r="F531" s="20">
        <f>DATE(2025,2,2)</f>
        <v>45690</v>
      </c>
      <c r="G531" s="13">
        <v>2023</v>
      </c>
      <c r="H531" s="13">
        <v>1</v>
      </c>
      <c r="I531" s="15" t="s">
        <v>100</v>
      </c>
      <c r="J531" s="15" t="s">
        <v>1369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s="10" customFormat="1" ht="12" customHeight="1" x14ac:dyDescent="0.25">
      <c r="A532" s="9">
        <v>530</v>
      </c>
      <c r="B532" s="10" t="s">
        <v>1370</v>
      </c>
      <c r="C532" s="10" t="s">
        <v>1371</v>
      </c>
      <c r="D532" s="9" t="s">
        <v>31</v>
      </c>
      <c r="E532" s="11" t="s">
        <v>1370</v>
      </c>
      <c r="F532" s="12">
        <f>DATE(2025,2,2)</f>
        <v>45690</v>
      </c>
      <c r="G532" s="27">
        <v>2021</v>
      </c>
      <c r="H532" s="9">
        <v>1</v>
      </c>
      <c r="I532" s="11" t="s">
        <v>100</v>
      </c>
      <c r="J532" s="11" t="s">
        <v>1372</v>
      </c>
    </row>
    <row r="533" spans="1:35" s="14" customFormat="1" ht="12" customHeight="1" x14ac:dyDescent="0.25">
      <c r="A533" s="9">
        <v>531</v>
      </c>
      <c r="B533" s="14" t="s">
        <v>1373</v>
      </c>
      <c r="C533" s="14" t="s">
        <v>1374</v>
      </c>
      <c r="D533" s="13" t="s">
        <v>77</v>
      </c>
      <c r="E533" s="14" t="s">
        <v>1375</v>
      </c>
      <c r="F533" s="9"/>
      <c r="G533" s="13">
        <v>2022</v>
      </c>
      <c r="H533" s="13">
        <v>0</v>
      </c>
      <c r="I533" s="15" t="s">
        <v>230</v>
      </c>
      <c r="J533" s="15" t="s">
        <v>1366</v>
      </c>
      <c r="K533" s="13"/>
      <c r="L533" s="13"/>
    </row>
    <row r="534" spans="1:35" s="14" customFormat="1" ht="12" customHeight="1" x14ac:dyDescent="0.25">
      <c r="A534" s="9">
        <v>532</v>
      </c>
      <c r="B534" s="14" t="s">
        <v>1376</v>
      </c>
      <c r="C534" s="14" t="s">
        <v>1377</v>
      </c>
      <c r="D534" s="13" t="s">
        <v>31</v>
      </c>
      <c r="E534" s="15" t="s">
        <v>189</v>
      </c>
      <c r="F534" s="12">
        <f>DATE(2017,4,8)</f>
        <v>42833</v>
      </c>
      <c r="G534" s="13" t="s">
        <v>174</v>
      </c>
      <c r="H534" s="13">
        <v>1</v>
      </c>
      <c r="I534" s="15" t="s">
        <v>190</v>
      </c>
      <c r="J534" s="15" t="s">
        <v>161</v>
      </c>
    </row>
    <row r="535" spans="1:35" s="14" customFormat="1" ht="12" customHeight="1" x14ac:dyDescent="0.25">
      <c r="A535" s="9">
        <v>533</v>
      </c>
      <c r="B535" s="15" t="s">
        <v>1378</v>
      </c>
      <c r="C535" s="15" t="s">
        <v>1379</v>
      </c>
      <c r="D535" s="13" t="s">
        <v>31</v>
      </c>
      <c r="E535" s="15" t="s">
        <v>1378</v>
      </c>
      <c r="F535" s="12">
        <f>DATE(2025,2,25)</f>
        <v>45713</v>
      </c>
      <c r="G535" s="13">
        <v>2023</v>
      </c>
      <c r="H535" s="13">
        <v>1</v>
      </c>
      <c r="I535" s="15" t="s">
        <v>24</v>
      </c>
      <c r="J535" s="15" t="s">
        <v>25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s="14" customFormat="1" ht="12" customHeight="1" x14ac:dyDescent="0.25">
      <c r="A536" s="9">
        <v>534</v>
      </c>
      <c r="B536" s="15" t="s">
        <v>1380</v>
      </c>
      <c r="C536" s="14" t="s">
        <v>1381</v>
      </c>
      <c r="D536" s="13" t="s">
        <v>23</v>
      </c>
      <c r="E536" s="15" t="s">
        <v>1380</v>
      </c>
      <c r="F536" s="12">
        <f>DATE(2024,7,24)</f>
        <v>45497</v>
      </c>
      <c r="G536" s="13">
        <v>2024</v>
      </c>
      <c r="H536" s="13">
        <v>1</v>
      </c>
      <c r="I536" s="15" t="s">
        <v>182</v>
      </c>
      <c r="J536" s="15" t="s">
        <v>1382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s="14" customFormat="1" ht="12" customHeight="1" x14ac:dyDescent="0.25">
      <c r="A537" s="9">
        <v>535</v>
      </c>
      <c r="B537" s="14" t="s">
        <v>1383</v>
      </c>
      <c r="C537" s="14" t="s">
        <v>1384</v>
      </c>
      <c r="D537" s="13" t="s">
        <v>31</v>
      </c>
      <c r="E537" s="15" t="str">
        <f>B537</f>
        <v>Elagolix</v>
      </c>
      <c r="F537" s="12">
        <f>DATE(2019,2,5)</f>
        <v>43501</v>
      </c>
      <c r="G537" s="13">
        <v>2018</v>
      </c>
      <c r="H537" s="13">
        <v>1</v>
      </c>
      <c r="I537" s="15" t="s">
        <v>473</v>
      </c>
      <c r="J537" s="15" t="s">
        <v>1385</v>
      </c>
    </row>
    <row r="538" spans="1:35" s="14" customFormat="1" ht="12" customHeight="1" x14ac:dyDescent="0.3">
      <c r="A538" s="9">
        <v>536</v>
      </c>
      <c r="B538" s="14" t="s">
        <v>1386</v>
      </c>
      <c r="C538" s="14" t="s">
        <v>1387</v>
      </c>
      <c r="D538" s="13" t="s">
        <v>77</v>
      </c>
      <c r="E538" s="14" t="s">
        <v>1386</v>
      </c>
      <c r="F538" s="9"/>
      <c r="G538" s="13">
        <v>2025</v>
      </c>
      <c r="H538" s="16">
        <v>0</v>
      </c>
      <c r="I538" s="14" t="s">
        <v>104</v>
      </c>
      <c r="J538" s="14" t="s">
        <v>1388</v>
      </c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</row>
    <row r="539" spans="1:35" s="14" customFormat="1" ht="12" customHeight="1" x14ac:dyDescent="0.25">
      <c r="A539" s="9">
        <v>537</v>
      </c>
      <c r="B539" s="14" t="s">
        <v>1389</v>
      </c>
      <c r="C539" s="14" t="s">
        <v>1390</v>
      </c>
      <c r="D539" s="13" t="s">
        <v>14</v>
      </c>
      <c r="E539" s="15" t="s">
        <v>1390</v>
      </c>
      <c r="F539" s="12">
        <f>DATE(2022,3,22)</f>
        <v>44642</v>
      </c>
      <c r="G539" s="13">
        <v>2016</v>
      </c>
      <c r="H539" s="13">
        <v>1</v>
      </c>
      <c r="I539" s="15" t="s">
        <v>15</v>
      </c>
      <c r="J539" s="15" t="s">
        <v>366</v>
      </c>
    </row>
    <row r="540" spans="1:35" s="14" customFormat="1" ht="12" customHeight="1" x14ac:dyDescent="0.25">
      <c r="A540" s="9">
        <v>538</v>
      </c>
      <c r="B540" s="14" t="s">
        <v>1391</v>
      </c>
      <c r="C540" s="14" t="s">
        <v>1392</v>
      </c>
      <c r="D540" s="13" t="s">
        <v>31</v>
      </c>
      <c r="E540" s="15" t="s">
        <v>170</v>
      </c>
      <c r="F540" s="12">
        <f>DATE(2018,2,10)</f>
        <v>43141</v>
      </c>
      <c r="G540" s="13">
        <v>2002</v>
      </c>
      <c r="H540" s="13">
        <v>1</v>
      </c>
      <c r="I540" s="15" t="s">
        <v>100</v>
      </c>
      <c r="J540" s="15" t="s">
        <v>171</v>
      </c>
    </row>
    <row r="541" spans="1:35" s="14" customFormat="1" ht="12" customHeight="1" x14ac:dyDescent="0.25">
      <c r="A541" s="9">
        <v>539</v>
      </c>
      <c r="B541" s="14" t="s">
        <v>1393</v>
      </c>
      <c r="C541" s="14" t="s">
        <v>1394</v>
      </c>
      <c r="D541" s="13" t="s">
        <v>44</v>
      </c>
      <c r="E541" s="15" t="s">
        <v>1189</v>
      </c>
      <c r="F541" s="12">
        <f>DATE(2025,8,28)</f>
        <v>45897</v>
      </c>
      <c r="G541" s="13">
        <v>2019</v>
      </c>
      <c r="H541" s="13">
        <v>1</v>
      </c>
      <c r="I541" s="15" t="s">
        <v>104</v>
      </c>
      <c r="J541" s="15" t="s">
        <v>1190</v>
      </c>
    </row>
    <row r="542" spans="1:35" s="14" customFormat="1" ht="12" customHeight="1" x14ac:dyDescent="0.25">
      <c r="A542" s="9">
        <v>540</v>
      </c>
      <c r="B542" s="14" t="s">
        <v>1395</v>
      </c>
      <c r="C542" s="14" t="s">
        <v>1396</v>
      </c>
      <c r="D542" s="13" t="s">
        <v>31</v>
      </c>
      <c r="E542" s="15" t="str">
        <f>B542</f>
        <v>Eliglustat</v>
      </c>
      <c r="F542" s="12">
        <f>DATE(2018,3,5)</f>
        <v>43164</v>
      </c>
      <c r="G542" s="13">
        <v>2014</v>
      </c>
      <c r="H542" s="13">
        <v>1</v>
      </c>
      <c r="I542" s="15" t="s">
        <v>104</v>
      </c>
      <c r="J542" s="15" t="s">
        <v>155</v>
      </c>
    </row>
    <row r="543" spans="1:35" s="14" customFormat="1" ht="12" customHeight="1" x14ac:dyDescent="0.25">
      <c r="A543" s="9">
        <v>541</v>
      </c>
      <c r="B543" s="15" t="s">
        <v>1397</v>
      </c>
      <c r="C543" s="15" t="s">
        <v>1398</v>
      </c>
      <c r="D543" s="13" t="s">
        <v>23</v>
      </c>
      <c r="E543" s="14" t="s">
        <v>1397</v>
      </c>
      <c r="F543" s="12">
        <f>DATE(2025,12,20)</f>
        <v>46011</v>
      </c>
      <c r="G543" s="13">
        <v>2025</v>
      </c>
      <c r="H543" s="13">
        <v>1</v>
      </c>
      <c r="I543" s="15" t="s">
        <v>45</v>
      </c>
      <c r="J543" s="13" t="s">
        <v>590</v>
      </c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</row>
    <row r="544" spans="1:35" s="14" customFormat="1" ht="12" customHeight="1" x14ac:dyDescent="0.25">
      <c r="A544" s="9">
        <v>542</v>
      </c>
      <c r="B544" s="15" t="s">
        <v>1399</v>
      </c>
      <c r="C544" s="15" t="s">
        <v>1400</v>
      </c>
      <c r="D544" s="13" t="s">
        <v>31</v>
      </c>
      <c r="E544" s="15" t="s">
        <v>118</v>
      </c>
      <c r="F544" s="12">
        <f>DATE(2016,3,12)</f>
        <v>42441</v>
      </c>
      <c r="G544" s="13">
        <v>2014</v>
      </c>
      <c r="H544" s="13">
        <v>1</v>
      </c>
      <c r="I544" s="15" t="s">
        <v>104</v>
      </c>
      <c r="J544" s="15" t="s">
        <v>1401</v>
      </c>
    </row>
    <row r="545" spans="1:35" s="14" customFormat="1" ht="12" customHeight="1" x14ac:dyDescent="0.25">
      <c r="A545" s="9">
        <v>543</v>
      </c>
      <c r="B545" s="14" t="s">
        <v>1402</v>
      </c>
      <c r="C545" s="14" t="s">
        <v>1403</v>
      </c>
      <c r="D545" s="13" t="s">
        <v>36</v>
      </c>
      <c r="E545" s="15" t="str">
        <f>B545</f>
        <v>Elotuzimab</v>
      </c>
      <c r="F545" s="12">
        <f>DATE(2017,4,3)</f>
        <v>42828</v>
      </c>
      <c r="G545" s="13">
        <v>2015</v>
      </c>
      <c r="H545" s="13">
        <v>1</v>
      </c>
      <c r="I545" s="15" t="s">
        <v>24</v>
      </c>
      <c r="J545" s="15" t="s">
        <v>601</v>
      </c>
    </row>
    <row r="546" spans="1:35" s="14" customFormat="1" ht="12" customHeight="1" x14ac:dyDescent="0.25">
      <c r="A546" s="9">
        <v>544</v>
      </c>
      <c r="B546" s="14" t="s">
        <v>1404</v>
      </c>
      <c r="C546" s="14" t="s">
        <v>1405</v>
      </c>
      <c r="D546" s="13" t="s">
        <v>77</v>
      </c>
      <c r="E546" s="14" t="s">
        <v>1404</v>
      </c>
      <c r="F546" s="12"/>
      <c r="G546" s="13">
        <v>2023</v>
      </c>
      <c r="H546" s="13">
        <v>0</v>
      </c>
      <c r="I546" s="15" t="s">
        <v>24</v>
      </c>
      <c r="J546" s="15" t="s">
        <v>601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s="14" customFormat="1" ht="12" customHeight="1" x14ac:dyDescent="0.25">
      <c r="A547" s="9">
        <v>545</v>
      </c>
      <c r="B547" s="14" t="s">
        <v>1406</v>
      </c>
      <c r="C547" s="14" t="s">
        <v>1407</v>
      </c>
      <c r="D547" s="13" t="s">
        <v>23</v>
      </c>
      <c r="E547" s="15" t="s">
        <v>1408</v>
      </c>
      <c r="F547" s="12">
        <f>DATE(2018,2,10)</f>
        <v>43141</v>
      </c>
      <c r="G547" s="13">
        <v>2008</v>
      </c>
      <c r="H547" s="13">
        <v>1</v>
      </c>
      <c r="I547" s="15" t="s">
        <v>230</v>
      </c>
      <c r="J547" s="15" t="s">
        <v>421</v>
      </c>
    </row>
    <row r="548" spans="1:35" s="14" customFormat="1" ht="12" customHeight="1" x14ac:dyDescent="0.25">
      <c r="A548" s="9">
        <v>546</v>
      </c>
      <c r="B548" s="14" t="s">
        <v>1409</v>
      </c>
      <c r="C548" s="14" t="s">
        <v>1410</v>
      </c>
      <c r="D548" s="13" t="s">
        <v>14</v>
      </c>
      <c r="E548" s="15" t="str">
        <f>B548</f>
        <v>Eluxadoline</v>
      </c>
      <c r="F548" s="12">
        <f>DATE(2017,4,25)</f>
        <v>42850</v>
      </c>
      <c r="G548" s="13">
        <v>2015</v>
      </c>
      <c r="H548" s="13">
        <v>1</v>
      </c>
      <c r="I548" s="15" t="s">
        <v>182</v>
      </c>
      <c r="J548" s="15" t="s">
        <v>183</v>
      </c>
    </row>
    <row r="549" spans="1:35" s="14" customFormat="1" ht="12" customHeight="1" x14ac:dyDescent="0.25">
      <c r="A549" s="9">
        <v>547</v>
      </c>
      <c r="B549" s="14" t="s">
        <v>978</v>
      </c>
      <c r="C549" s="14" t="s">
        <v>1411</v>
      </c>
      <c r="D549" s="13" t="s">
        <v>23</v>
      </c>
      <c r="E549" s="15" t="str">
        <f>B549</f>
        <v>Elvitegravir</v>
      </c>
      <c r="F549" s="12">
        <f>DATE(2018,1,30)</f>
        <v>43130</v>
      </c>
      <c r="G549" s="13">
        <v>2012</v>
      </c>
      <c r="H549" s="13">
        <v>1</v>
      </c>
      <c r="I549" s="15" t="s">
        <v>15</v>
      </c>
      <c r="J549" s="15" t="s">
        <v>16</v>
      </c>
    </row>
    <row r="550" spans="1:35" s="14" customFormat="1" ht="12" customHeight="1" x14ac:dyDescent="0.25">
      <c r="A550" s="9">
        <v>548</v>
      </c>
      <c r="B550" s="14" t="s">
        <v>1412</v>
      </c>
      <c r="C550" s="14" t="s">
        <v>1413</v>
      </c>
      <c r="D550" s="13" t="s">
        <v>31</v>
      </c>
      <c r="E550" s="15" t="str">
        <f>B550</f>
        <v>Emapalumab</v>
      </c>
      <c r="F550" s="12">
        <f>DATE(2019,2,5)</f>
        <v>43501</v>
      </c>
      <c r="G550" s="13">
        <v>2018</v>
      </c>
      <c r="H550" s="13">
        <v>1</v>
      </c>
      <c r="I550" s="15" t="s">
        <v>24</v>
      </c>
      <c r="J550" s="15" t="s">
        <v>1414</v>
      </c>
    </row>
    <row r="551" spans="1:35" s="14" customFormat="1" ht="12" customHeight="1" x14ac:dyDescent="0.25">
      <c r="A551" s="9">
        <v>549</v>
      </c>
      <c r="B551" s="14" t="s">
        <v>1415</v>
      </c>
      <c r="C551" s="14" t="s">
        <v>1416</v>
      </c>
      <c r="D551" s="13" t="s">
        <v>31</v>
      </c>
      <c r="E551" s="15" t="str">
        <f>B551</f>
        <v>Emicizumab</v>
      </c>
      <c r="F551" s="12">
        <f>DATE(2018,10,20)</f>
        <v>43393</v>
      </c>
      <c r="G551" s="13">
        <v>2017</v>
      </c>
      <c r="H551" s="13">
        <v>1</v>
      </c>
      <c r="I551" s="15" t="s">
        <v>230</v>
      </c>
      <c r="J551" s="15" t="s">
        <v>1417</v>
      </c>
    </row>
    <row r="552" spans="1:35" s="14" customFormat="1" ht="12" customHeight="1" x14ac:dyDescent="0.25">
      <c r="A552" s="9">
        <v>550</v>
      </c>
      <c r="B552" s="14" t="s">
        <v>1418</v>
      </c>
      <c r="C552" s="14" t="s">
        <v>1419</v>
      </c>
      <c r="D552" s="13" t="s">
        <v>31</v>
      </c>
      <c r="E552" s="15" t="s">
        <v>701</v>
      </c>
      <c r="F552" s="12">
        <f>DATE(2023,2,10)</f>
        <v>44967</v>
      </c>
      <c r="G552" s="13">
        <v>2014</v>
      </c>
      <c r="H552" s="13">
        <v>1</v>
      </c>
      <c r="I552" s="15" t="s">
        <v>45</v>
      </c>
      <c r="J552" s="15" t="s">
        <v>46</v>
      </c>
    </row>
    <row r="553" spans="1:35" s="14" customFormat="1" ht="12" customHeight="1" x14ac:dyDescent="0.25">
      <c r="A553" s="9">
        <v>551</v>
      </c>
      <c r="B553" s="14" t="s">
        <v>1420</v>
      </c>
      <c r="C553" s="14" t="s">
        <v>1421</v>
      </c>
      <c r="D553" s="13" t="s">
        <v>31</v>
      </c>
      <c r="E553" s="15" t="str">
        <f>B553</f>
        <v>Emtricitabine</v>
      </c>
      <c r="F553" s="12">
        <f>DATE(2018,2,10)</f>
        <v>43141</v>
      </c>
      <c r="G553" s="13">
        <v>2006</v>
      </c>
      <c r="H553" s="13">
        <v>1</v>
      </c>
      <c r="I553" s="15" t="s">
        <v>15</v>
      </c>
      <c r="J553" s="15" t="s">
        <v>1422</v>
      </c>
    </row>
    <row r="554" spans="1:35" s="14" customFormat="1" ht="12" customHeight="1" x14ac:dyDescent="0.25">
      <c r="A554" s="9">
        <v>552</v>
      </c>
      <c r="B554" s="14" t="s">
        <v>1423</v>
      </c>
      <c r="C554" s="14" t="s">
        <v>1424</v>
      </c>
      <c r="D554" s="13" t="s">
        <v>44</v>
      </c>
      <c r="E554" s="15" t="str">
        <f>B554</f>
        <v>Enalapril</v>
      </c>
      <c r="F554" s="12">
        <f>DATE(2018,2,10)</f>
        <v>43141</v>
      </c>
      <c r="G554" s="13">
        <v>1985</v>
      </c>
      <c r="H554" s="13">
        <v>1</v>
      </c>
      <c r="I554" s="15" t="s">
        <v>49</v>
      </c>
      <c r="J554" s="15" t="s">
        <v>50</v>
      </c>
    </row>
    <row r="555" spans="1:35" s="14" customFormat="1" ht="12" customHeight="1" x14ac:dyDescent="0.25">
      <c r="A555" s="9">
        <v>553</v>
      </c>
      <c r="B555" s="14" t="s">
        <v>1425</v>
      </c>
      <c r="C555" s="14" t="s">
        <v>1425</v>
      </c>
      <c r="D555" s="13" t="s">
        <v>44</v>
      </c>
      <c r="E555" s="15" t="s">
        <v>1423</v>
      </c>
      <c r="F555" s="12">
        <f>DATE(2017,1,15)</f>
        <v>42750</v>
      </c>
      <c r="G555" s="13">
        <v>2000</v>
      </c>
      <c r="H555" s="13">
        <v>1</v>
      </c>
      <c r="I555" s="15" t="s">
        <v>49</v>
      </c>
      <c r="J555" s="15" t="s">
        <v>50</v>
      </c>
    </row>
    <row r="556" spans="1:35" s="14" customFormat="1" ht="12" customHeight="1" x14ac:dyDescent="0.25">
      <c r="A556" s="9">
        <v>554</v>
      </c>
      <c r="B556" s="14" t="s">
        <v>1426</v>
      </c>
      <c r="C556" s="14" t="s">
        <v>1427</v>
      </c>
      <c r="D556" s="13" t="s">
        <v>36</v>
      </c>
      <c r="E556" s="15" t="str">
        <f>B556</f>
        <v>Enasidenib</v>
      </c>
      <c r="F556" s="20">
        <f>DATE(2025,3,4)</f>
        <v>45720</v>
      </c>
      <c r="G556" s="13">
        <v>2017</v>
      </c>
      <c r="H556" s="13">
        <v>1</v>
      </c>
      <c r="I556" s="15" t="s">
        <v>24</v>
      </c>
      <c r="J556" s="15" t="s">
        <v>1428</v>
      </c>
    </row>
    <row r="557" spans="1:35" s="10" customFormat="1" ht="12" customHeight="1" x14ac:dyDescent="0.25">
      <c r="A557" s="9">
        <v>555</v>
      </c>
      <c r="B557" s="10" t="s">
        <v>569</v>
      </c>
      <c r="C557" s="10" t="s">
        <v>1429</v>
      </c>
      <c r="D557" s="9" t="s">
        <v>23</v>
      </c>
      <c r="E557" s="11" t="str">
        <f>B557</f>
        <v>Encorafenib</v>
      </c>
      <c r="F557" s="12">
        <f>DATE(2019,1,24)</f>
        <v>43489</v>
      </c>
      <c r="G557" s="9">
        <v>2018</v>
      </c>
      <c r="H557" s="9">
        <v>1</v>
      </c>
      <c r="I557" s="11" t="s">
        <v>24</v>
      </c>
      <c r="J557" s="11" t="s">
        <v>570</v>
      </c>
    </row>
    <row r="558" spans="1:35" s="14" customFormat="1" ht="12" customHeight="1" x14ac:dyDescent="0.25">
      <c r="A558" s="9">
        <v>556</v>
      </c>
      <c r="B558" s="14" t="s">
        <v>1430</v>
      </c>
      <c r="C558" s="14" t="s">
        <v>1431</v>
      </c>
      <c r="D558" s="13" t="s">
        <v>131</v>
      </c>
      <c r="E558" s="15" t="str">
        <f>B558</f>
        <v>Energy Drinks</v>
      </c>
      <c r="F558" s="18">
        <f>DATE(2020,7,7)</f>
        <v>44019</v>
      </c>
      <c r="G558" s="13" t="s">
        <v>174</v>
      </c>
      <c r="H558" s="13">
        <v>1</v>
      </c>
      <c r="I558" s="15" t="s">
        <v>175</v>
      </c>
      <c r="J558" s="15" t="s">
        <v>1432</v>
      </c>
    </row>
    <row r="559" spans="1:35" s="14" customFormat="1" ht="12" customHeight="1" x14ac:dyDescent="0.25">
      <c r="A559" s="9">
        <v>557</v>
      </c>
      <c r="B559" s="14" t="s">
        <v>1433</v>
      </c>
      <c r="C559" s="14" t="s">
        <v>1434</v>
      </c>
      <c r="D559" s="13" t="s">
        <v>44</v>
      </c>
      <c r="E559" s="15" t="str">
        <f>B559</f>
        <v>Enflurane</v>
      </c>
      <c r="F559" s="12">
        <f>DATE(2018,1,1)</f>
        <v>43101</v>
      </c>
      <c r="G559" s="13">
        <v>1972</v>
      </c>
      <c r="H559" s="13">
        <v>1</v>
      </c>
      <c r="I559" s="15" t="s">
        <v>100</v>
      </c>
      <c r="J559" s="15" t="s">
        <v>1162</v>
      </c>
    </row>
    <row r="560" spans="1:35" s="14" customFormat="1" ht="12" customHeight="1" x14ac:dyDescent="0.25">
      <c r="A560" s="9">
        <v>558</v>
      </c>
      <c r="B560" s="14" t="s">
        <v>1435</v>
      </c>
      <c r="C560" s="14" t="s">
        <v>1436</v>
      </c>
      <c r="D560" s="13" t="s">
        <v>23</v>
      </c>
      <c r="E560" s="15" t="s">
        <v>1435</v>
      </c>
      <c r="F560" s="20">
        <f>DATE(2023,11,28)</f>
        <v>45258</v>
      </c>
      <c r="G560" s="16">
        <v>2019</v>
      </c>
      <c r="H560" s="13">
        <v>1</v>
      </c>
      <c r="I560" s="15" t="s">
        <v>24</v>
      </c>
      <c r="J560" s="15" t="s">
        <v>1437</v>
      </c>
    </row>
    <row r="561" spans="1:35" s="14" customFormat="1" ht="12" customHeight="1" x14ac:dyDescent="0.25">
      <c r="A561" s="9">
        <v>559</v>
      </c>
      <c r="B561" s="14" t="s">
        <v>1438</v>
      </c>
      <c r="C561" s="14" t="s">
        <v>1439</v>
      </c>
      <c r="D561" s="13" t="s">
        <v>31</v>
      </c>
      <c r="E561" s="15" t="str">
        <f>B561</f>
        <v>Enfuvirtide</v>
      </c>
      <c r="F561" s="12">
        <f>DATE(2018,2,10)</f>
        <v>43141</v>
      </c>
      <c r="G561" s="13">
        <v>2003</v>
      </c>
      <c r="H561" s="13">
        <v>1</v>
      </c>
      <c r="I561" s="15" t="s">
        <v>15</v>
      </c>
      <c r="J561" s="15" t="s">
        <v>16</v>
      </c>
    </row>
    <row r="562" spans="1:35" s="14" customFormat="1" ht="12" customHeight="1" x14ac:dyDescent="0.25">
      <c r="A562" s="9">
        <v>560</v>
      </c>
      <c r="B562" s="15" t="s">
        <v>1440</v>
      </c>
      <c r="C562" s="15" t="s">
        <v>1441</v>
      </c>
      <c r="D562" s="13" t="s">
        <v>44</v>
      </c>
      <c r="E562" s="14" t="s">
        <v>287</v>
      </c>
      <c r="F562" s="12">
        <f>DATE(2025,9,20)</f>
        <v>45920</v>
      </c>
      <c r="G562" s="13" t="s">
        <v>174</v>
      </c>
      <c r="H562" s="13">
        <v>1</v>
      </c>
      <c r="I562" s="15" t="s">
        <v>45</v>
      </c>
      <c r="J562" s="13" t="s">
        <v>288</v>
      </c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</row>
    <row r="563" spans="1:35" s="14" customFormat="1" ht="12" customHeight="1" x14ac:dyDescent="0.25">
      <c r="A563" s="9">
        <v>561</v>
      </c>
      <c r="B563" s="14" t="s">
        <v>1442</v>
      </c>
      <c r="C563" s="14" t="s">
        <v>1443</v>
      </c>
      <c r="D563" s="13" t="s">
        <v>36</v>
      </c>
      <c r="E563" s="15" t="s">
        <v>1082</v>
      </c>
      <c r="F563" s="12">
        <f>DATE(2017,11,13)</f>
        <v>43052</v>
      </c>
      <c r="G563" s="13">
        <v>1993</v>
      </c>
      <c r="H563" s="13">
        <v>1</v>
      </c>
      <c r="I563" s="15" t="s">
        <v>230</v>
      </c>
      <c r="J563" s="15" t="s">
        <v>308</v>
      </c>
    </row>
    <row r="564" spans="1:35" s="14" customFormat="1" ht="12" customHeight="1" x14ac:dyDescent="0.25">
      <c r="A564" s="9">
        <v>562</v>
      </c>
      <c r="B564" s="14" t="s">
        <v>1444</v>
      </c>
      <c r="C564" s="14" t="s">
        <v>1445</v>
      </c>
      <c r="D564" s="13" t="s">
        <v>36</v>
      </c>
      <c r="E564" s="14" t="s">
        <v>1444</v>
      </c>
      <c r="F564" s="12">
        <f>DATE(2025,3,1)</f>
        <v>45717</v>
      </c>
      <c r="G564" s="13">
        <v>2024</v>
      </c>
      <c r="H564" s="13">
        <v>1</v>
      </c>
      <c r="I564" s="14" t="s">
        <v>24</v>
      </c>
      <c r="J564" s="14" t="s">
        <v>624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s="14" customFormat="1" ht="12" customHeight="1" x14ac:dyDescent="0.25">
      <c r="A565" s="9">
        <v>563</v>
      </c>
      <c r="B565" s="14" t="s">
        <v>1446</v>
      </c>
      <c r="C565" s="14" t="s">
        <v>1447</v>
      </c>
      <c r="D565" s="13" t="s">
        <v>77</v>
      </c>
      <c r="E565" s="14" t="s">
        <v>1446</v>
      </c>
      <c r="F565" s="12"/>
      <c r="G565" s="13">
        <v>2024</v>
      </c>
      <c r="H565" s="13">
        <v>0</v>
      </c>
      <c r="I565" s="14" t="s">
        <v>613</v>
      </c>
      <c r="J565" s="14" t="s">
        <v>1448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s="14" customFormat="1" ht="12" customHeight="1" x14ac:dyDescent="0.25">
      <c r="A566" s="9">
        <v>564</v>
      </c>
      <c r="B566" s="14" t="s">
        <v>1449</v>
      </c>
      <c r="C566" s="14" t="s">
        <v>1450</v>
      </c>
      <c r="D566" s="13" t="s">
        <v>36</v>
      </c>
      <c r="E566" s="15" t="str">
        <f>B566</f>
        <v>Entacapone</v>
      </c>
      <c r="F566" s="12">
        <f>DATE(2017,7,21)</f>
        <v>42937</v>
      </c>
      <c r="G566" s="13">
        <v>2003</v>
      </c>
      <c r="H566" s="13">
        <v>1</v>
      </c>
      <c r="I566" s="15" t="s">
        <v>100</v>
      </c>
      <c r="J566" s="15" t="s">
        <v>210</v>
      </c>
    </row>
    <row r="567" spans="1:35" s="14" customFormat="1" ht="12" customHeight="1" x14ac:dyDescent="0.25">
      <c r="A567" s="9">
        <v>565</v>
      </c>
      <c r="B567" s="14" t="s">
        <v>1451</v>
      </c>
      <c r="C567" s="14" t="s">
        <v>1452</v>
      </c>
      <c r="D567" s="13" t="s">
        <v>23</v>
      </c>
      <c r="E567" s="15" t="str">
        <f>B567</f>
        <v>Entecavir</v>
      </c>
      <c r="F567" s="12">
        <f>DATE(2018,2,10)</f>
        <v>43141</v>
      </c>
      <c r="G567" s="13">
        <v>2005</v>
      </c>
      <c r="H567" s="13">
        <v>1</v>
      </c>
      <c r="I567" s="15" t="s">
        <v>15</v>
      </c>
      <c r="J567" s="15" t="s">
        <v>97</v>
      </c>
    </row>
    <row r="568" spans="1:35" s="14" customFormat="1" ht="12" customHeight="1" x14ac:dyDescent="0.25">
      <c r="A568" s="9">
        <v>566</v>
      </c>
      <c r="B568" s="14" t="s">
        <v>1453</v>
      </c>
      <c r="C568" s="14" t="s">
        <v>1454</v>
      </c>
      <c r="D568" s="13" t="s">
        <v>23</v>
      </c>
      <c r="E568" s="15" t="str">
        <f>B568</f>
        <v>Entrectinib</v>
      </c>
      <c r="F568" s="12">
        <f>DATE(2021,10,18)</f>
        <v>44487</v>
      </c>
      <c r="G568" s="13">
        <v>2019</v>
      </c>
      <c r="H568" s="13">
        <v>1</v>
      </c>
      <c r="I568" s="15" t="s">
        <v>24</v>
      </c>
      <c r="J568" s="15" t="s">
        <v>1455</v>
      </c>
    </row>
    <row r="569" spans="1:35" s="14" customFormat="1" ht="12" customHeight="1" x14ac:dyDescent="0.25">
      <c r="A569" s="9">
        <v>567</v>
      </c>
      <c r="B569" s="14" t="s">
        <v>1456</v>
      </c>
      <c r="C569" s="14" t="s">
        <v>1457</v>
      </c>
      <c r="D569" s="13" t="s">
        <v>31</v>
      </c>
      <c r="E569" s="15" t="str">
        <f>B569</f>
        <v>Enzalutamide</v>
      </c>
      <c r="F569" s="12">
        <f>DATE(2023,3,15)</f>
        <v>45000</v>
      </c>
      <c r="G569" s="13">
        <v>2012</v>
      </c>
      <c r="H569" s="13">
        <v>1</v>
      </c>
      <c r="I569" s="15" t="s">
        <v>24</v>
      </c>
      <c r="J569" s="15" t="s">
        <v>28</v>
      </c>
    </row>
    <row r="570" spans="1:35" s="14" customFormat="1" ht="12" customHeight="1" x14ac:dyDescent="0.25">
      <c r="A570" s="9">
        <v>568</v>
      </c>
      <c r="B570" s="14" t="s">
        <v>1458</v>
      </c>
      <c r="C570" s="14" t="s">
        <v>1459</v>
      </c>
      <c r="D570" s="13" t="s">
        <v>77</v>
      </c>
      <c r="E570" s="14" t="s">
        <v>1458</v>
      </c>
      <c r="F570" s="12"/>
      <c r="G570" s="13">
        <v>2023</v>
      </c>
      <c r="H570" s="13">
        <v>0</v>
      </c>
      <c r="I570" s="15" t="s">
        <v>24</v>
      </c>
      <c r="J570" s="15" t="s">
        <v>1460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s="14" customFormat="1" ht="12" customHeight="1" x14ac:dyDescent="0.25">
      <c r="A571" s="9">
        <v>569</v>
      </c>
      <c r="B571" s="14" t="s">
        <v>1461</v>
      </c>
      <c r="C571" s="14" t="s">
        <v>188</v>
      </c>
      <c r="D571" s="13" t="s">
        <v>44</v>
      </c>
      <c r="E571" s="15" t="str">
        <f>B571</f>
        <v>Ephedra</v>
      </c>
      <c r="F571" s="12">
        <f>DATE(2018,2,10)</f>
        <v>43141</v>
      </c>
      <c r="G571" s="13" t="s">
        <v>174</v>
      </c>
      <c r="H571" s="13">
        <v>1</v>
      </c>
      <c r="I571" s="15" t="s">
        <v>175</v>
      </c>
      <c r="J571" s="15" t="s">
        <v>1462</v>
      </c>
    </row>
    <row r="572" spans="1:35" s="14" customFormat="1" ht="12" customHeight="1" x14ac:dyDescent="0.25">
      <c r="A572" s="9">
        <v>570</v>
      </c>
      <c r="B572" s="14" t="s">
        <v>1463</v>
      </c>
      <c r="C572" s="14" t="s">
        <v>1464</v>
      </c>
      <c r="D572" s="13" t="s">
        <v>23</v>
      </c>
      <c r="E572" s="15" t="s">
        <v>1310</v>
      </c>
      <c r="F572" s="12">
        <f>DATE(2018,1,14)</f>
        <v>43114</v>
      </c>
      <c r="G572" s="13">
        <v>1999</v>
      </c>
      <c r="H572" s="13">
        <v>1</v>
      </c>
      <c r="I572" s="15" t="s">
        <v>24</v>
      </c>
      <c r="J572" s="15" t="s">
        <v>284</v>
      </c>
    </row>
    <row r="573" spans="1:35" s="14" customFormat="1" ht="12" customHeight="1" x14ac:dyDescent="0.25">
      <c r="A573" s="9">
        <v>571</v>
      </c>
      <c r="B573" s="14" t="s">
        <v>1465</v>
      </c>
      <c r="C573" s="14" t="s">
        <v>1466</v>
      </c>
      <c r="D573" s="13" t="s">
        <v>23</v>
      </c>
      <c r="E573" s="15" t="str">
        <f>B573</f>
        <v>Eplerenone</v>
      </c>
      <c r="F573" s="12">
        <f>DATE(2021,10,13)</f>
        <v>44482</v>
      </c>
      <c r="G573" s="13">
        <v>2002</v>
      </c>
      <c r="H573" s="13">
        <v>1</v>
      </c>
      <c r="I573" s="15" t="s">
        <v>49</v>
      </c>
      <c r="J573" s="15" t="s">
        <v>59</v>
      </c>
    </row>
    <row r="574" spans="1:35" s="14" customFormat="1" ht="12" customHeight="1" x14ac:dyDescent="0.25">
      <c r="A574" s="9">
        <v>572</v>
      </c>
      <c r="B574" s="14" t="s">
        <v>1467</v>
      </c>
      <c r="C574" s="14" t="s">
        <v>1468</v>
      </c>
      <c r="D574" s="13" t="s">
        <v>31</v>
      </c>
      <c r="E574" s="14" t="s">
        <v>1467</v>
      </c>
      <c r="F574" s="12">
        <f>DATE(2025,2,20)</f>
        <v>45708</v>
      </c>
      <c r="G574" s="13">
        <v>2023</v>
      </c>
      <c r="H574" s="13">
        <v>1</v>
      </c>
      <c r="I574" s="15" t="s">
        <v>104</v>
      </c>
      <c r="J574" s="15" t="s">
        <v>1469</v>
      </c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s="14" customFormat="1" ht="12" customHeight="1" x14ac:dyDescent="0.25">
      <c r="A575" s="9">
        <v>573</v>
      </c>
      <c r="B575" s="14" t="s">
        <v>1470</v>
      </c>
      <c r="C575" s="14" t="s">
        <v>1471</v>
      </c>
      <c r="D575" s="13" t="s">
        <v>31</v>
      </c>
      <c r="E575" s="15" t="s">
        <v>1101</v>
      </c>
      <c r="F575" s="12">
        <f>DATE(2017,12,4)</f>
        <v>43073</v>
      </c>
      <c r="G575" s="13">
        <v>1989</v>
      </c>
      <c r="H575" s="13">
        <v>1</v>
      </c>
      <c r="I575" s="15" t="s">
        <v>230</v>
      </c>
      <c r="J575" s="15" t="s">
        <v>1102</v>
      </c>
    </row>
    <row r="576" spans="1:35" s="14" customFormat="1" ht="12" customHeight="1" x14ac:dyDescent="0.25">
      <c r="A576" s="9">
        <v>574</v>
      </c>
      <c r="B576" s="14" t="s">
        <v>1472</v>
      </c>
      <c r="C576" s="14" t="s">
        <v>1473</v>
      </c>
      <c r="D576" s="13" t="s">
        <v>31</v>
      </c>
      <c r="E576" s="15" t="s">
        <v>1474</v>
      </c>
      <c r="F576" s="12">
        <f>DATE(2016,11,29)</f>
        <v>42703</v>
      </c>
      <c r="G576" s="13">
        <v>1995</v>
      </c>
      <c r="H576" s="13">
        <v>1</v>
      </c>
      <c r="I576" s="15" t="s">
        <v>73</v>
      </c>
      <c r="J576" s="15" t="s">
        <v>216</v>
      </c>
    </row>
    <row r="577" spans="1:35" s="14" customFormat="1" ht="12" customHeight="1" x14ac:dyDescent="0.25">
      <c r="A577" s="9">
        <v>575</v>
      </c>
      <c r="B577" s="14" t="s">
        <v>1475</v>
      </c>
      <c r="C577" s="14" t="s">
        <v>1476</v>
      </c>
      <c r="D577" s="13" t="s">
        <v>23</v>
      </c>
      <c r="E577" s="15" t="str">
        <f t="shared" ref="E577:E582" si="12">B577</f>
        <v>Eprosartan</v>
      </c>
      <c r="F577" s="12">
        <f>DATE(2017,1,13)</f>
        <v>42748</v>
      </c>
      <c r="G577" s="13">
        <v>1997</v>
      </c>
      <c r="H577" s="13">
        <v>1</v>
      </c>
      <c r="I577" s="15" t="s">
        <v>49</v>
      </c>
      <c r="J577" s="15" t="s">
        <v>50</v>
      </c>
    </row>
    <row r="578" spans="1:35" s="14" customFormat="1" ht="12" customHeight="1" x14ac:dyDescent="0.25">
      <c r="A578" s="9">
        <v>576</v>
      </c>
      <c r="B578" s="14" t="s">
        <v>1477</v>
      </c>
      <c r="C578" s="14" t="s">
        <v>1478</v>
      </c>
      <c r="D578" s="13" t="s">
        <v>31</v>
      </c>
      <c r="E578" s="15" t="str">
        <f t="shared" si="12"/>
        <v>Eptinezumab</v>
      </c>
      <c r="F578" s="12">
        <f>DATE(2021,7,5)</f>
        <v>44382</v>
      </c>
      <c r="G578" s="13">
        <v>2020</v>
      </c>
      <c r="H578" s="13">
        <v>1</v>
      </c>
      <c r="I578" s="15" t="s">
        <v>100</v>
      </c>
      <c r="J578" s="15" t="s">
        <v>1479</v>
      </c>
    </row>
    <row r="579" spans="1:35" s="14" customFormat="1" ht="12" customHeight="1" x14ac:dyDescent="0.3">
      <c r="A579" s="9">
        <v>577</v>
      </c>
      <c r="B579" s="14" t="s">
        <v>1480</v>
      </c>
      <c r="C579" s="23" t="s">
        <v>1481</v>
      </c>
      <c r="D579" s="13" t="s">
        <v>23</v>
      </c>
      <c r="E579" s="15" t="str">
        <f t="shared" si="12"/>
        <v>Eravacycline</v>
      </c>
      <c r="F579" s="12">
        <f>DATE(2019,1,24)</f>
        <v>43489</v>
      </c>
      <c r="G579" s="13">
        <v>2018</v>
      </c>
      <c r="H579" s="13">
        <v>1</v>
      </c>
      <c r="I579" s="15" t="s">
        <v>15</v>
      </c>
      <c r="J579" s="15" t="s">
        <v>1482</v>
      </c>
    </row>
    <row r="580" spans="1:35" s="14" customFormat="1" ht="12" customHeight="1" x14ac:dyDescent="0.25">
      <c r="A580" s="9">
        <v>578</v>
      </c>
      <c r="B580" s="14" t="s">
        <v>1483</v>
      </c>
      <c r="C580" s="14" t="s">
        <v>1484</v>
      </c>
      <c r="D580" s="13" t="s">
        <v>23</v>
      </c>
      <c r="E580" s="15" t="str">
        <f t="shared" si="12"/>
        <v>Erdafinitib</v>
      </c>
      <c r="F580" s="12">
        <f>DATE(2022,12,1)</f>
        <v>44896</v>
      </c>
      <c r="G580" s="13">
        <v>2019</v>
      </c>
      <c r="H580" s="13">
        <v>1</v>
      </c>
      <c r="I580" s="15" t="s">
        <v>24</v>
      </c>
      <c r="J580" s="15" t="s">
        <v>1437</v>
      </c>
    </row>
    <row r="581" spans="1:35" s="14" customFormat="1" ht="12" customHeight="1" x14ac:dyDescent="0.25">
      <c r="A581" s="9">
        <v>579</v>
      </c>
      <c r="B581" s="14" t="s">
        <v>1485</v>
      </c>
      <c r="C581" s="14" t="s">
        <v>1486</v>
      </c>
      <c r="D581" s="13" t="s">
        <v>31</v>
      </c>
      <c r="E581" s="15" t="str">
        <f t="shared" si="12"/>
        <v>Erenumab</v>
      </c>
      <c r="F581" s="12">
        <f>DATE(2018,8,8)</f>
        <v>43320</v>
      </c>
      <c r="G581" s="13">
        <v>2018</v>
      </c>
      <c r="H581" s="13">
        <v>1</v>
      </c>
      <c r="I581" s="15" t="s">
        <v>100</v>
      </c>
      <c r="J581" s="15" t="s">
        <v>171</v>
      </c>
    </row>
    <row r="582" spans="1:35" s="14" customFormat="1" ht="12" customHeight="1" x14ac:dyDescent="0.25">
      <c r="A582" s="9">
        <v>580</v>
      </c>
      <c r="B582" s="14" t="s">
        <v>1487</v>
      </c>
      <c r="C582" s="14" t="s">
        <v>1488</v>
      </c>
      <c r="D582" s="13" t="s">
        <v>31</v>
      </c>
      <c r="E582" s="15" t="str">
        <f t="shared" si="12"/>
        <v>Ergot alkaloids</v>
      </c>
      <c r="F582" s="12">
        <f>DATE(2018,2,10)</f>
        <v>43141</v>
      </c>
      <c r="G582" s="13">
        <v>1980</v>
      </c>
      <c r="H582" s="13">
        <v>1</v>
      </c>
      <c r="I582" s="15" t="s">
        <v>100</v>
      </c>
      <c r="J582" s="15" t="s">
        <v>171</v>
      </c>
    </row>
    <row r="583" spans="1:35" s="14" customFormat="1" ht="12" customHeight="1" x14ac:dyDescent="0.25">
      <c r="A583" s="9">
        <v>581</v>
      </c>
      <c r="B583" s="14" t="s">
        <v>1489</v>
      </c>
      <c r="C583" s="14" t="s">
        <v>1490</v>
      </c>
      <c r="D583" s="13" t="s">
        <v>31</v>
      </c>
      <c r="E583" s="15" t="s">
        <v>1245</v>
      </c>
      <c r="F583" s="12">
        <f>DATE(2018,2,10)</f>
        <v>43141</v>
      </c>
      <c r="G583" s="13">
        <v>1948</v>
      </c>
      <c r="H583" s="13">
        <v>1</v>
      </c>
      <c r="I583" s="15" t="s">
        <v>100</v>
      </c>
      <c r="J583" s="15" t="s">
        <v>171</v>
      </c>
    </row>
    <row r="584" spans="1:35" s="14" customFormat="1" ht="12" customHeight="1" x14ac:dyDescent="0.25">
      <c r="A584" s="9">
        <v>582</v>
      </c>
      <c r="B584" s="14" t="s">
        <v>1491</v>
      </c>
      <c r="C584" s="14" t="s">
        <v>1492</v>
      </c>
      <c r="D584" s="13" t="s">
        <v>23</v>
      </c>
      <c r="E584" s="15" t="str">
        <f>B584</f>
        <v xml:space="preserve">Eribulin </v>
      </c>
      <c r="F584" s="12">
        <f>DATE(2018,2,20)</f>
        <v>43151</v>
      </c>
      <c r="G584" s="13">
        <v>2010</v>
      </c>
      <c r="H584" s="13">
        <v>1</v>
      </c>
      <c r="I584" s="15" t="s">
        <v>24</v>
      </c>
      <c r="J584" s="15" t="s">
        <v>284</v>
      </c>
    </row>
    <row r="585" spans="1:35" s="14" customFormat="1" ht="12" customHeight="1" x14ac:dyDescent="0.25">
      <c r="A585" s="9">
        <v>583</v>
      </c>
      <c r="B585" s="14" t="s">
        <v>1493</v>
      </c>
      <c r="C585" s="14" t="s">
        <v>1494</v>
      </c>
      <c r="D585" s="13" t="s">
        <v>44</v>
      </c>
      <c r="E585" s="15" t="str">
        <f>B585</f>
        <v>Erlotinib</v>
      </c>
      <c r="F585" s="12">
        <f>DATE(2018,2,20)</f>
        <v>43151</v>
      </c>
      <c r="G585" s="13">
        <v>2004</v>
      </c>
      <c r="H585" s="13">
        <v>1</v>
      </c>
      <c r="I585" s="15" t="s">
        <v>24</v>
      </c>
      <c r="J585" s="15" t="s">
        <v>207</v>
      </c>
    </row>
    <row r="586" spans="1:35" s="14" customFormat="1" ht="12" customHeight="1" x14ac:dyDescent="0.25">
      <c r="A586" s="9">
        <v>584</v>
      </c>
      <c r="B586" s="14" t="s">
        <v>1495</v>
      </c>
      <c r="C586" s="14" t="s">
        <v>1496</v>
      </c>
      <c r="D586" s="13" t="s">
        <v>23</v>
      </c>
      <c r="E586" s="15" t="str">
        <f>B586</f>
        <v>Ertapenem</v>
      </c>
      <c r="F586" s="12">
        <f>DATE(2017,1,15)</f>
        <v>42750</v>
      </c>
      <c r="G586" s="13">
        <v>2001</v>
      </c>
      <c r="H586" s="13">
        <v>1</v>
      </c>
      <c r="I586" s="15" t="s">
        <v>15</v>
      </c>
      <c r="J586" s="15" t="s">
        <v>225</v>
      </c>
    </row>
    <row r="587" spans="1:35" s="14" customFormat="1" ht="12" customHeight="1" x14ac:dyDescent="0.25">
      <c r="A587" s="9">
        <v>585</v>
      </c>
      <c r="B587" s="14" t="s">
        <v>1497</v>
      </c>
      <c r="C587" s="14" t="s">
        <v>1498</v>
      </c>
      <c r="D587" s="13" t="s">
        <v>31</v>
      </c>
      <c r="E587" s="15" t="s">
        <v>701</v>
      </c>
      <c r="F587" s="12">
        <f>DATE(2023,2,10)</f>
        <v>44967</v>
      </c>
      <c r="G587" s="13">
        <v>2017</v>
      </c>
      <c r="H587" s="13">
        <v>1</v>
      </c>
      <c r="I587" s="15" t="s">
        <v>45</v>
      </c>
      <c r="J587" s="15" t="s">
        <v>46</v>
      </c>
    </row>
    <row r="588" spans="1:35" s="14" customFormat="1" ht="12" customHeight="1" x14ac:dyDescent="0.25">
      <c r="A588" s="9">
        <v>586</v>
      </c>
      <c r="B588" s="14" t="s">
        <v>1499</v>
      </c>
      <c r="C588" s="14" t="s">
        <v>1500</v>
      </c>
      <c r="D588" s="13" t="s">
        <v>166</v>
      </c>
      <c r="E588" s="15" t="str">
        <f>B588</f>
        <v>Erythromycin</v>
      </c>
      <c r="F588" s="12">
        <f>DATE(2017,8,10)</f>
        <v>42957</v>
      </c>
      <c r="G588" s="13">
        <v>1967</v>
      </c>
      <c r="H588" s="13">
        <v>1</v>
      </c>
      <c r="I588" s="15" t="s">
        <v>15</v>
      </c>
      <c r="J588" s="15" t="s">
        <v>225</v>
      </c>
    </row>
    <row r="589" spans="1:35" s="14" customFormat="1" ht="12" customHeight="1" x14ac:dyDescent="0.25">
      <c r="A589" s="9">
        <v>587</v>
      </c>
      <c r="B589" s="15" t="s">
        <v>1501</v>
      </c>
      <c r="C589" s="15" t="s">
        <v>1502</v>
      </c>
      <c r="D589" s="13" t="s">
        <v>31</v>
      </c>
      <c r="E589" s="15" t="s">
        <v>675</v>
      </c>
      <c r="F589" s="12">
        <f>DATE(2024,6,20)</f>
        <v>45463</v>
      </c>
      <c r="G589" s="13">
        <v>2009</v>
      </c>
      <c r="H589" s="13">
        <v>1</v>
      </c>
      <c r="I589" s="15" t="s">
        <v>104</v>
      </c>
      <c r="J589" s="15" t="s">
        <v>527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s="14" customFormat="1" ht="12" customHeight="1" x14ac:dyDescent="0.25">
      <c r="A590" s="9">
        <v>588</v>
      </c>
      <c r="B590" s="14" t="s">
        <v>1503</v>
      </c>
      <c r="C590" s="14" t="s">
        <v>1504</v>
      </c>
      <c r="D590" s="13" t="s">
        <v>14</v>
      </c>
      <c r="E590" s="15" t="s">
        <v>930</v>
      </c>
      <c r="F590" s="12">
        <f>DATE(2017,10,12)</f>
        <v>43020</v>
      </c>
      <c r="G590" s="13">
        <v>2002</v>
      </c>
      <c r="H590" s="13">
        <v>1</v>
      </c>
      <c r="I590" s="15" t="s">
        <v>100</v>
      </c>
      <c r="J590" s="15" t="s">
        <v>250</v>
      </c>
    </row>
    <row r="591" spans="1:35" s="14" customFormat="1" ht="12" customHeight="1" x14ac:dyDescent="0.25">
      <c r="A591" s="9">
        <v>589</v>
      </c>
      <c r="B591" s="14" t="s">
        <v>1505</v>
      </c>
      <c r="C591" s="14" t="s">
        <v>1506</v>
      </c>
      <c r="D591" s="13" t="s">
        <v>23</v>
      </c>
      <c r="E591" s="15" t="str">
        <f>B591</f>
        <v>Esketamine</v>
      </c>
      <c r="F591" s="12">
        <f>DATE(2019,10,18)</f>
        <v>43756</v>
      </c>
      <c r="G591" s="13">
        <v>2019</v>
      </c>
      <c r="H591" s="13">
        <v>1</v>
      </c>
      <c r="I591" s="15" t="s">
        <v>100</v>
      </c>
      <c r="J591" s="15" t="s">
        <v>1507</v>
      </c>
    </row>
    <row r="592" spans="1:35" s="14" customFormat="1" ht="12" customHeight="1" x14ac:dyDescent="0.25">
      <c r="A592" s="9">
        <v>590</v>
      </c>
      <c r="B592" s="14" t="s">
        <v>1508</v>
      </c>
      <c r="C592" s="14" t="s">
        <v>1509</v>
      </c>
      <c r="D592" s="13" t="s">
        <v>36</v>
      </c>
      <c r="E592" s="15" t="str">
        <f>B592</f>
        <v>Eslicarbazepine</v>
      </c>
      <c r="F592" s="12">
        <f>DATE(2018,2,10)</f>
        <v>43141</v>
      </c>
      <c r="G592" s="13">
        <v>2013</v>
      </c>
      <c r="H592" s="13">
        <v>1</v>
      </c>
      <c r="I592" s="15" t="s">
        <v>100</v>
      </c>
      <c r="J592" s="15" t="s">
        <v>630</v>
      </c>
    </row>
    <row r="593" spans="1:35" s="14" customFormat="1" ht="12" customHeight="1" x14ac:dyDescent="0.25">
      <c r="A593" s="9">
        <v>591</v>
      </c>
      <c r="B593" s="14" t="s">
        <v>1510</v>
      </c>
      <c r="C593" s="14" t="s">
        <v>1511</v>
      </c>
      <c r="D593" s="13" t="s">
        <v>31</v>
      </c>
      <c r="E593" s="15" t="str">
        <f>B593</f>
        <v>Esmolol</v>
      </c>
      <c r="F593" s="12">
        <f>DATE(2019,5,3)</f>
        <v>43588</v>
      </c>
      <c r="G593" s="13">
        <v>1986</v>
      </c>
      <c r="H593" s="13">
        <v>1</v>
      </c>
      <c r="I593" s="15" t="s">
        <v>49</v>
      </c>
      <c r="J593" s="15" t="s">
        <v>50</v>
      </c>
    </row>
    <row r="594" spans="1:35" s="14" customFormat="1" ht="12" customHeight="1" x14ac:dyDescent="0.25">
      <c r="A594" s="9">
        <v>592</v>
      </c>
      <c r="B594" s="14" t="s">
        <v>1512</v>
      </c>
      <c r="C594" s="14" t="s">
        <v>1513</v>
      </c>
      <c r="D594" s="13" t="s">
        <v>44</v>
      </c>
      <c r="E594" s="15" t="s">
        <v>1514</v>
      </c>
      <c r="F594" s="12">
        <f>DATE(2018,2,19)</f>
        <v>43150</v>
      </c>
      <c r="G594" s="13">
        <v>2001</v>
      </c>
      <c r="H594" s="13">
        <v>1</v>
      </c>
      <c r="I594" s="15" t="s">
        <v>182</v>
      </c>
      <c r="J594" s="15" t="s">
        <v>918</v>
      </c>
    </row>
    <row r="595" spans="1:35" s="14" customFormat="1" ht="12" customHeight="1" x14ac:dyDescent="0.25">
      <c r="A595" s="9">
        <v>593</v>
      </c>
      <c r="B595" s="14" t="s">
        <v>1515</v>
      </c>
      <c r="C595" s="14" t="s">
        <v>1516</v>
      </c>
      <c r="D595" s="13" t="s">
        <v>31</v>
      </c>
      <c r="E595" s="15" t="str">
        <f>B595</f>
        <v>Estazolam</v>
      </c>
      <c r="F595" s="12">
        <f>DATE(2017,1,25)</f>
        <v>42760</v>
      </c>
      <c r="G595" s="13">
        <v>1990</v>
      </c>
      <c r="H595" s="13">
        <v>1</v>
      </c>
      <c r="I595" s="15" t="s">
        <v>100</v>
      </c>
      <c r="J595" s="15" t="s">
        <v>204</v>
      </c>
    </row>
    <row r="596" spans="1:35" s="14" customFormat="1" ht="12" customHeight="1" x14ac:dyDescent="0.25">
      <c r="A596" s="9">
        <v>594</v>
      </c>
      <c r="B596" s="14" t="s">
        <v>1517</v>
      </c>
      <c r="C596" s="14" t="s">
        <v>1518</v>
      </c>
      <c r="D596" s="13" t="s">
        <v>166</v>
      </c>
      <c r="E596" s="15" t="s">
        <v>1519</v>
      </c>
      <c r="F596" s="12">
        <f>DATE(2020,6,24)</f>
        <v>44006</v>
      </c>
      <c r="G596" s="13" t="s">
        <v>63</v>
      </c>
      <c r="H596" s="13">
        <v>1</v>
      </c>
      <c r="I596" s="15" t="s">
        <v>473</v>
      </c>
      <c r="J596" s="15" t="s">
        <v>1173</v>
      </c>
    </row>
    <row r="597" spans="1:35" s="14" customFormat="1" ht="12" customHeight="1" x14ac:dyDescent="0.25">
      <c r="A597" s="9">
        <v>595</v>
      </c>
      <c r="B597" s="14" t="s">
        <v>1520</v>
      </c>
      <c r="C597" s="14" t="s">
        <v>1521</v>
      </c>
      <c r="D597" s="13" t="s">
        <v>23</v>
      </c>
      <c r="E597" s="15" t="s">
        <v>1522</v>
      </c>
      <c r="F597" s="12">
        <f>DATE(2017,1,24)</f>
        <v>42759</v>
      </c>
      <c r="G597" s="13">
        <v>1981</v>
      </c>
      <c r="H597" s="13">
        <v>1</v>
      </c>
      <c r="I597" s="15" t="s">
        <v>24</v>
      </c>
      <c r="J597" s="15" t="s">
        <v>28</v>
      </c>
    </row>
    <row r="598" spans="1:35" s="14" customFormat="1" ht="12" customHeight="1" x14ac:dyDescent="0.25">
      <c r="A598" s="9">
        <v>596</v>
      </c>
      <c r="B598" s="14" t="s">
        <v>1523</v>
      </c>
      <c r="C598" s="14" t="s">
        <v>1524</v>
      </c>
      <c r="D598" s="13" t="s">
        <v>166</v>
      </c>
      <c r="E598" s="15" t="str">
        <f>$E$485</f>
        <v>Dimethyl Fumarate</v>
      </c>
      <c r="F598" s="12">
        <f>DATE(2020,6,24)</f>
        <v>44006</v>
      </c>
      <c r="G598" s="13" t="s">
        <v>63</v>
      </c>
      <c r="H598" s="13">
        <v>1</v>
      </c>
      <c r="I598" s="15" t="s">
        <v>473</v>
      </c>
      <c r="J598" s="15" t="s">
        <v>1173</v>
      </c>
    </row>
    <row r="599" spans="1:35" s="13" customFormat="1" ht="12" customHeight="1" x14ac:dyDescent="0.25">
      <c r="A599" s="9">
        <v>597</v>
      </c>
      <c r="B599" s="14" t="s">
        <v>1223</v>
      </c>
      <c r="C599" s="14" t="s">
        <v>1525</v>
      </c>
      <c r="D599" s="13" t="s">
        <v>166</v>
      </c>
      <c r="E599" s="15" t="str">
        <f>$E$485</f>
        <v>Dimethyl Fumarate</v>
      </c>
      <c r="F599" s="20">
        <f>DATE(2020,6,24)</f>
        <v>44006</v>
      </c>
      <c r="G599" s="13" t="s">
        <v>63</v>
      </c>
      <c r="H599" s="13">
        <v>1</v>
      </c>
      <c r="I599" s="15" t="s">
        <v>473</v>
      </c>
      <c r="J599" s="15" t="s">
        <v>1173</v>
      </c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spans="1:35" s="14" customFormat="1" ht="12" customHeight="1" x14ac:dyDescent="0.25">
      <c r="A600" s="9">
        <v>598</v>
      </c>
      <c r="B600" s="14" t="s">
        <v>1526</v>
      </c>
      <c r="C600" s="14" t="s">
        <v>290</v>
      </c>
      <c r="D600" s="13" t="s">
        <v>166</v>
      </c>
      <c r="E600" s="11" t="s">
        <v>1223</v>
      </c>
      <c r="F600" s="12">
        <f>DATE(2020,6,24)</f>
        <v>44006</v>
      </c>
      <c r="G600" s="13" t="s">
        <v>174</v>
      </c>
      <c r="H600" s="13">
        <v>1</v>
      </c>
      <c r="I600" s="15" t="s">
        <v>473</v>
      </c>
      <c r="J600" s="15" t="s">
        <v>1173</v>
      </c>
    </row>
    <row r="601" spans="1:35" s="14" customFormat="1" ht="12" customHeight="1" x14ac:dyDescent="0.25">
      <c r="A601" s="9">
        <v>599</v>
      </c>
      <c r="B601" s="14" t="s">
        <v>1527</v>
      </c>
      <c r="C601" s="14" t="s">
        <v>1528</v>
      </c>
      <c r="D601" s="13" t="s">
        <v>166</v>
      </c>
      <c r="E601" s="15" t="str">
        <f>$E$485</f>
        <v>Dimethyl Fumarate</v>
      </c>
      <c r="F601" s="12">
        <f>DATE(2020,6,24)</f>
        <v>44006</v>
      </c>
      <c r="G601" s="13" t="s">
        <v>63</v>
      </c>
      <c r="H601" s="13">
        <v>1</v>
      </c>
      <c r="I601" s="15" t="s">
        <v>473</v>
      </c>
      <c r="J601" s="15" t="s">
        <v>1173</v>
      </c>
    </row>
    <row r="602" spans="1:35" s="14" customFormat="1" ht="12" customHeight="1" x14ac:dyDescent="0.25">
      <c r="A602" s="9">
        <v>600</v>
      </c>
      <c r="B602" s="14" t="s">
        <v>1529</v>
      </c>
      <c r="C602" s="14" t="s">
        <v>1530</v>
      </c>
      <c r="D602" s="13" t="s">
        <v>166</v>
      </c>
      <c r="E602" s="15" t="str">
        <f>$E$489</f>
        <v>Docosahexaenoate</v>
      </c>
      <c r="F602" s="12">
        <f>DATE(2020,6,24)</f>
        <v>44006</v>
      </c>
      <c r="G602" s="13">
        <v>1999</v>
      </c>
      <c r="H602" s="13">
        <v>1</v>
      </c>
      <c r="I602" s="15" t="s">
        <v>473</v>
      </c>
      <c r="J602" s="15" t="s">
        <v>1173</v>
      </c>
    </row>
    <row r="603" spans="1:35" s="14" customFormat="1" ht="12" customHeight="1" x14ac:dyDescent="0.25">
      <c r="A603" s="9">
        <v>601</v>
      </c>
      <c r="B603" s="14" t="s">
        <v>1531</v>
      </c>
      <c r="C603" s="14" t="s">
        <v>1532</v>
      </c>
      <c r="D603" s="13" t="s">
        <v>31</v>
      </c>
      <c r="E603" s="15" t="str">
        <f>B603</f>
        <v>Eszopiclone</v>
      </c>
      <c r="F603" s="12">
        <f>DATE(2018,2,19)</f>
        <v>43150</v>
      </c>
      <c r="G603" s="13">
        <v>2004</v>
      </c>
      <c r="H603" s="13">
        <v>1</v>
      </c>
      <c r="I603" s="15" t="s">
        <v>100</v>
      </c>
      <c r="J603" s="15" t="s">
        <v>204</v>
      </c>
    </row>
    <row r="604" spans="1:35" s="14" customFormat="1" ht="12" customHeight="1" x14ac:dyDescent="0.25">
      <c r="A604" s="9">
        <v>602</v>
      </c>
      <c r="B604" s="14" t="s">
        <v>1533</v>
      </c>
      <c r="C604" s="14" t="s">
        <v>1534</v>
      </c>
      <c r="D604" s="13" t="s">
        <v>44</v>
      </c>
      <c r="E604" s="15" t="str">
        <f>B604</f>
        <v>Etanercept</v>
      </c>
      <c r="F604" s="12">
        <f>DATE(2017,2,5)</f>
        <v>42771</v>
      </c>
      <c r="G604" s="13">
        <v>1998</v>
      </c>
      <c r="H604" s="13">
        <v>1</v>
      </c>
      <c r="I604" s="15" t="s">
        <v>19</v>
      </c>
      <c r="J604" s="15" t="s">
        <v>94</v>
      </c>
    </row>
    <row r="605" spans="1:35" s="14" customFormat="1" ht="12" customHeight="1" x14ac:dyDescent="0.25">
      <c r="A605" s="9">
        <v>603</v>
      </c>
      <c r="B605" s="14" t="s">
        <v>1535</v>
      </c>
      <c r="C605" s="14" t="s">
        <v>1536</v>
      </c>
      <c r="D605" s="13" t="s">
        <v>31</v>
      </c>
      <c r="E605" s="15" t="str">
        <f>B605</f>
        <v>Eteplirsen</v>
      </c>
      <c r="F605" s="12">
        <f>DATE(2022,12,1)</f>
        <v>44896</v>
      </c>
      <c r="G605" s="13">
        <v>2016</v>
      </c>
      <c r="H605" s="13">
        <v>1</v>
      </c>
      <c r="I605" s="15" t="s">
        <v>104</v>
      </c>
      <c r="J605" s="15" t="s">
        <v>1537</v>
      </c>
    </row>
    <row r="606" spans="1:35" s="14" customFormat="1" ht="12" customHeight="1" x14ac:dyDescent="0.25">
      <c r="A606" s="9">
        <v>604</v>
      </c>
      <c r="B606" s="24" t="s">
        <v>1538</v>
      </c>
      <c r="C606" s="24" t="s">
        <v>1539</v>
      </c>
      <c r="D606" s="25" t="s">
        <v>31</v>
      </c>
      <c r="E606" s="15" t="s">
        <v>464</v>
      </c>
      <c r="F606" s="12">
        <v>44592</v>
      </c>
      <c r="G606" s="25">
        <v>2021</v>
      </c>
      <c r="H606" s="13">
        <v>1</v>
      </c>
      <c r="I606" s="26" t="s">
        <v>15</v>
      </c>
      <c r="J606" s="26" t="s">
        <v>465</v>
      </c>
    </row>
    <row r="607" spans="1:35" s="14" customFormat="1" ht="12" customHeight="1" x14ac:dyDescent="0.25">
      <c r="A607" s="9">
        <v>605</v>
      </c>
      <c r="B607" s="14" t="s">
        <v>1540</v>
      </c>
      <c r="C607" s="14" t="s">
        <v>1541</v>
      </c>
      <c r="D607" s="13" t="s">
        <v>31</v>
      </c>
      <c r="E607" s="15" t="s">
        <v>649</v>
      </c>
      <c r="F607" s="20">
        <f>DATE(2017,10,2)</f>
        <v>43010</v>
      </c>
      <c r="G607" s="13">
        <v>1967</v>
      </c>
      <c r="H607" s="13">
        <v>1</v>
      </c>
      <c r="I607" s="15" t="s">
        <v>49</v>
      </c>
      <c r="J607" s="15" t="s">
        <v>59</v>
      </c>
    </row>
    <row r="608" spans="1:35" s="10" customFormat="1" ht="12" customHeight="1" x14ac:dyDescent="0.25">
      <c r="A608" s="9">
        <v>606</v>
      </c>
      <c r="B608" s="10" t="s">
        <v>1542</v>
      </c>
      <c r="C608" s="10" t="s">
        <v>1543</v>
      </c>
      <c r="D608" s="9" t="s">
        <v>14</v>
      </c>
      <c r="E608" s="11" t="str">
        <f>B608</f>
        <v>Ethambutol</v>
      </c>
      <c r="F608" s="12">
        <f>DATE(2020,12,24)</f>
        <v>44189</v>
      </c>
      <c r="G608" s="9">
        <v>1967</v>
      </c>
      <c r="H608" s="9">
        <v>1</v>
      </c>
      <c r="I608" s="11" t="s">
        <v>15</v>
      </c>
      <c r="J608" s="11" t="s">
        <v>241</v>
      </c>
    </row>
    <row r="609" spans="1:35" s="10" customFormat="1" ht="12" customHeight="1" x14ac:dyDescent="0.25">
      <c r="A609" s="9">
        <v>607</v>
      </c>
      <c r="B609" s="10" t="s">
        <v>1544</v>
      </c>
      <c r="C609" s="10" t="s">
        <v>1545</v>
      </c>
      <c r="D609" s="9" t="s">
        <v>166</v>
      </c>
      <c r="E609" s="15" t="s">
        <v>1223</v>
      </c>
      <c r="F609" s="12">
        <f>DATE(2020,6,24)</f>
        <v>44006</v>
      </c>
      <c r="G609" s="9" t="s">
        <v>63</v>
      </c>
      <c r="H609" s="9">
        <v>1</v>
      </c>
      <c r="I609" s="11" t="s">
        <v>473</v>
      </c>
      <c r="J609" s="15" t="s">
        <v>1173</v>
      </c>
    </row>
    <row r="610" spans="1:35" s="14" customFormat="1" ht="12" customHeight="1" x14ac:dyDescent="0.25">
      <c r="A610" s="9">
        <v>608</v>
      </c>
      <c r="B610" s="14" t="s">
        <v>1546</v>
      </c>
      <c r="C610" s="14" t="s">
        <v>1547</v>
      </c>
      <c r="D610" s="9" t="s">
        <v>44</v>
      </c>
      <c r="E610" s="15" t="str">
        <f>B610</f>
        <v>Ethionamide</v>
      </c>
      <c r="F610" s="12">
        <f>DATE(2020,12,26)</f>
        <v>44191</v>
      </c>
      <c r="G610" s="13">
        <v>1965</v>
      </c>
      <c r="H610" s="13">
        <v>1</v>
      </c>
      <c r="I610" s="11" t="s">
        <v>15</v>
      </c>
      <c r="J610" s="15" t="s">
        <v>241</v>
      </c>
    </row>
    <row r="611" spans="1:35" s="14" customFormat="1" ht="12" customHeight="1" x14ac:dyDescent="0.25">
      <c r="A611" s="9">
        <v>609</v>
      </c>
      <c r="B611" s="14" t="s">
        <v>1548</v>
      </c>
      <c r="C611" s="14" t="s">
        <v>1549</v>
      </c>
      <c r="D611" s="9" t="s">
        <v>23</v>
      </c>
      <c r="E611" s="15" t="str">
        <f>B611</f>
        <v>Ethosuximide</v>
      </c>
      <c r="F611" s="12">
        <f>DATE(2018,2,19)</f>
        <v>43150</v>
      </c>
      <c r="G611" s="13">
        <v>1960</v>
      </c>
      <c r="H611" s="13">
        <v>1</v>
      </c>
      <c r="I611" s="11" t="s">
        <v>100</v>
      </c>
      <c r="J611" s="15" t="s">
        <v>630</v>
      </c>
    </row>
    <row r="612" spans="1:35" s="14" customFormat="1" ht="12" customHeight="1" x14ac:dyDescent="0.25">
      <c r="A612" s="9">
        <v>610</v>
      </c>
      <c r="B612" s="14" t="s">
        <v>1550</v>
      </c>
      <c r="C612" s="14" t="s">
        <v>1551</v>
      </c>
      <c r="D612" s="9" t="s">
        <v>1552</v>
      </c>
      <c r="E612" s="15" t="str">
        <f>$E$497</f>
        <v>Donidalorsen</v>
      </c>
      <c r="F612" s="12">
        <f>DATE(2020,6,24)</f>
        <v>44006</v>
      </c>
      <c r="G612" s="13">
        <v>1970</v>
      </c>
      <c r="H612" s="13">
        <v>1</v>
      </c>
      <c r="I612" s="11" t="s">
        <v>473</v>
      </c>
      <c r="J612" s="15" t="s">
        <v>1173</v>
      </c>
    </row>
    <row r="613" spans="1:35" s="14" customFormat="1" ht="12" customHeight="1" x14ac:dyDescent="0.25">
      <c r="A613" s="9">
        <v>611</v>
      </c>
      <c r="B613" s="14" t="s">
        <v>1553</v>
      </c>
      <c r="C613" s="14" t="s">
        <v>1554</v>
      </c>
      <c r="D613" s="9" t="s">
        <v>23</v>
      </c>
      <c r="E613" s="15" t="s">
        <v>143</v>
      </c>
      <c r="F613" s="12">
        <f>DATE(2020,11,4)</f>
        <v>44139</v>
      </c>
      <c r="G613" s="13">
        <v>1977</v>
      </c>
      <c r="H613" s="13">
        <v>1</v>
      </c>
      <c r="I613" s="11" t="s">
        <v>45</v>
      </c>
      <c r="J613" s="15" t="s">
        <v>144</v>
      </c>
    </row>
    <row r="614" spans="1:35" s="14" customFormat="1" ht="12" customHeight="1" x14ac:dyDescent="0.25">
      <c r="A614" s="9">
        <v>612</v>
      </c>
      <c r="B614" s="14" t="s">
        <v>1555</v>
      </c>
      <c r="C614" s="14" t="s">
        <v>1556</v>
      </c>
      <c r="D614" s="9" t="s">
        <v>14</v>
      </c>
      <c r="E614" s="15" t="str">
        <f>B614</f>
        <v>Etodolac</v>
      </c>
      <c r="F614" s="12">
        <f>DATE(2025,7,25)</f>
        <v>45863</v>
      </c>
      <c r="G614" s="13">
        <v>1991</v>
      </c>
      <c r="H614" s="13">
        <v>1</v>
      </c>
      <c r="I614" s="11" t="s">
        <v>54</v>
      </c>
      <c r="J614" s="15" t="s">
        <v>55</v>
      </c>
    </row>
    <row r="615" spans="1:35" s="14" customFormat="1" ht="12" customHeight="1" x14ac:dyDescent="0.25">
      <c r="A615" s="9">
        <v>613</v>
      </c>
      <c r="B615" s="14" t="s">
        <v>1557</v>
      </c>
      <c r="C615" s="14" t="s">
        <v>1518</v>
      </c>
      <c r="D615" s="9" t="s">
        <v>1552</v>
      </c>
      <c r="E615" s="15" t="s">
        <v>1172</v>
      </c>
      <c r="F615" s="12">
        <f>DATE(2020,6,24)</f>
        <v>44006</v>
      </c>
      <c r="G615" s="13">
        <v>2001</v>
      </c>
      <c r="H615" s="13">
        <v>1</v>
      </c>
      <c r="I615" s="11" t="s">
        <v>473</v>
      </c>
      <c r="J615" s="15" t="s">
        <v>1173</v>
      </c>
    </row>
    <row r="616" spans="1:35" s="14" customFormat="1" ht="12" customHeight="1" x14ac:dyDescent="0.25">
      <c r="A616" s="9">
        <v>614</v>
      </c>
      <c r="B616" s="14" t="s">
        <v>1558</v>
      </c>
      <c r="C616" s="14" t="s">
        <v>1559</v>
      </c>
      <c r="D616" s="9" t="s">
        <v>14</v>
      </c>
      <c r="E616" s="15" t="str">
        <f>B616</f>
        <v>Etoposide</v>
      </c>
      <c r="F616" s="12">
        <f>DATE(2018,2,25)</f>
        <v>43156</v>
      </c>
      <c r="G616" s="13">
        <v>1983</v>
      </c>
      <c r="H616" s="13">
        <v>1</v>
      </c>
      <c r="I616" s="11" t="s">
        <v>24</v>
      </c>
      <c r="J616" s="15" t="s">
        <v>207</v>
      </c>
    </row>
    <row r="617" spans="1:35" s="14" customFormat="1" ht="12" customHeight="1" x14ac:dyDescent="0.25">
      <c r="A617" s="9">
        <v>615</v>
      </c>
      <c r="B617" s="14" t="s">
        <v>1560</v>
      </c>
      <c r="C617" s="14" t="s">
        <v>1561</v>
      </c>
      <c r="D617" s="9" t="s">
        <v>77</v>
      </c>
      <c r="E617" s="14" t="s">
        <v>1560</v>
      </c>
      <c r="F617" s="12"/>
      <c r="G617" s="13">
        <v>2023</v>
      </c>
      <c r="H617" s="13">
        <v>0</v>
      </c>
      <c r="I617" s="11" t="s">
        <v>182</v>
      </c>
      <c r="J617" s="15" t="s">
        <v>1562</v>
      </c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s="14" customFormat="1" ht="12" customHeight="1" x14ac:dyDescent="0.25">
      <c r="A618" s="9">
        <v>616</v>
      </c>
      <c r="B618" s="14" t="s">
        <v>1563</v>
      </c>
      <c r="C618" s="14" t="s">
        <v>1564</v>
      </c>
      <c r="D618" s="9" t="s">
        <v>36</v>
      </c>
      <c r="E618" s="15" t="str">
        <f>B618</f>
        <v>Etravirine</v>
      </c>
      <c r="F618" s="12">
        <f>DATE(2018,2,19)</f>
        <v>43150</v>
      </c>
      <c r="G618" s="13">
        <v>2008</v>
      </c>
      <c r="H618" s="13">
        <v>1</v>
      </c>
      <c r="I618" s="11" t="s">
        <v>15</v>
      </c>
      <c r="J618" s="15" t="s">
        <v>16</v>
      </c>
    </row>
    <row r="619" spans="1:35" s="14" customFormat="1" ht="12" customHeight="1" x14ac:dyDescent="0.25">
      <c r="A619" s="9">
        <v>617</v>
      </c>
      <c r="B619" s="14" t="s">
        <v>1565</v>
      </c>
      <c r="C619" s="14" t="s">
        <v>1566</v>
      </c>
      <c r="D619" s="9" t="s">
        <v>44</v>
      </c>
      <c r="E619" s="15" t="s">
        <v>68</v>
      </c>
      <c r="F619" s="12">
        <f>DATE(2020,11,8)</f>
        <v>44143</v>
      </c>
      <c r="G619" s="13">
        <v>1986</v>
      </c>
      <c r="H619" s="13">
        <v>1</v>
      </c>
      <c r="I619" s="11" t="s">
        <v>32</v>
      </c>
      <c r="J619" s="15" t="s">
        <v>70</v>
      </c>
    </row>
    <row r="620" spans="1:35" s="14" customFormat="1" ht="12" customHeight="1" x14ac:dyDescent="0.3">
      <c r="A620" s="9">
        <v>618</v>
      </c>
      <c r="B620" s="14" t="s">
        <v>1567</v>
      </c>
      <c r="C620" s="14" t="s">
        <v>1568</v>
      </c>
      <c r="D620" s="9" t="s">
        <v>77</v>
      </c>
      <c r="E620" s="14" t="s">
        <v>1567</v>
      </c>
      <c r="F620" s="9"/>
      <c r="G620" s="13">
        <v>2025</v>
      </c>
      <c r="H620" s="16">
        <v>0</v>
      </c>
      <c r="I620" s="10" t="s">
        <v>49</v>
      </c>
      <c r="J620" s="14" t="s">
        <v>1569</v>
      </c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</row>
    <row r="621" spans="1:35" s="14" customFormat="1" ht="12" customHeight="1" x14ac:dyDescent="0.3">
      <c r="A621" s="9">
        <v>619</v>
      </c>
      <c r="B621" s="15" t="s">
        <v>1570</v>
      </c>
      <c r="C621" s="19" t="s">
        <v>188</v>
      </c>
      <c r="D621" s="9" t="s">
        <v>131</v>
      </c>
      <c r="E621" s="15" t="str">
        <f t="shared" ref="E621:E630" si="13">B621</f>
        <v>Eugenol (Clove Oil)</v>
      </c>
      <c r="F621" s="12">
        <f>DATE(2019,10,25)</f>
        <v>43763</v>
      </c>
      <c r="G621" s="13" t="s">
        <v>174</v>
      </c>
      <c r="H621" s="13">
        <v>1</v>
      </c>
      <c r="I621" s="11" t="s">
        <v>175</v>
      </c>
      <c r="J621" s="15" t="s">
        <v>1571</v>
      </c>
    </row>
    <row r="622" spans="1:35" s="14" customFormat="1" ht="12" customHeight="1" x14ac:dyDescent="0.25">
      <c r="A622" s="9">
        <v>620</v>
      </c>
      <c r="B622" s="14" t="s">
        <v>1572</v>
      </c>
      <c r="C622" s="14" t="s">
        <v>1573</v>
      </c>
      <c r="D622" s="9" t="s">
        <v>23</v>
      </c>
      <c r="E622" s="15" t="str">
        <f t="shared" si="13"/>
        <v>Everolimus</v>
      </c>
      <c r="F622" s="12">
        <f>DATE(2018,2,22)</f>
        <v>43153</v>
      </c>
      <c r="G622" s="13">
        <v>2009</v>
      </c>
      <c r="H622" s="13">
        <v>1</v>
      </c>
      <c r="I622" s="11" t="s">
        <v>139</v>
      </c>
      <c r="J622" s="15" t="s">
        <v>140</v>
      </c>
    </row>
    <row r="623" spans="1:35" s="14" customFormat="1" ht="12" customHeight="1" x14ac:dyDescent="0.25">
      <c r="A623" s="9">
        <v>621</v>
      </c>
      <c r="B623" s="14" t="s">
        <v>1574</v>
      </c>
      <c r="C623" s="14" t="s">
        <v>1575</v>
      </c>
      <c r="D623" s="9" t="s">
        <v>31</v>
      </c>
      <c r="E623" s="15" t="str">
        <f t="shared" si="13"/>
        <v>Evinacumab</v>
      </c>
      <c r="F623" s="12">
        <f>DATE(2021,7,8)</f>
        <v>44385</v>
      </c>
      <c r="G623" s="13">
        <v>2021</v>
      </c>
      <c r="H623" s="13">
        <v>1</v>
      </c>
      <c r="I623" s="11" t="s">
        <v>49</v>
      </c>
      <c r="J623" s="15" t="s">
        <v>161</v>
      </c>
    </row>
    <row r="624" spans="1:35" s="14" customFormat="1" ht="12" customHeight="1" x14ac:dyDescent="0.25">
      <c r="A624" s="9">
        <v>622</v>
      </c>
      <c r="B624" s="14" t="s">
        <v>1576</v>
      </c>
      <c r="C624" s="14" t="s">
        <v>1577</v>
      </c>
      <c r="D624" s="9" t="s">
        <v>31</v>
      </c>
      <c r="E624" s="15" t="str">
        <f t="shared" si="13"/>
        <v>Evolocumab</v>
      </c>
      <c r="F624" s="12">
        <f>DATE(2018,2,19)</f>
        <v>43150</v>
      </c>
      <c r="G624" s="13">
        <v>2015</v>
      </c>
      <c r="H624" s="13">
        <v>1</v>
      </c>
      <c r="I624" s="11" t="s">
        <v>49</v>
      </c>
      <c r="J624" s="15" t="s">
        <v>161</v>
      </c>
    </row>
    <row r="625" spans="1:12" s="14" customFormat="1" ht="12" customHeight="1" x14ac:dyDescent="0.25">
      <c r="A625" s="9">
        <v>623</v>
      </c>
      <c r="B625" s="14" t="s">
        <v>1578</v>
      </c>
      <c r="C625" s="14" t="s">
        <v>1579</v>
      </c>
      <c r="D625" s="9" t="s">
        <v>14</v>
      </c>
      <c r="E625" s="15" t="str">
        <f t="shared" si="13"/>
        <v>Exemestane</v>
      </c>
      <c r="F625" s="12">
        <f>DATE(2017,7,25)</f>
        <v>42941</v>
      </c>
      <c r="G625" s="13">
        <v>1999</v>
      </c>
      <c r="H625" s="13">
        <v>1</v>
      </c>
      <c r="I625" s="11" t="s">
        <v>24</v>
      </c>
      <c r="J625" s="15" t="s">
        <v>284</v>
      </c>
    </row>
    <row r="626" spans="1:12" s="14" customFormat="1" ht="12" customHeight="1" x14ac:dyDescent="0.25">
      <c r="A626" s="9">
        <v>624</v>
      </c>
      <c r="B626" s="14" t="s">
        <v>1580</v>
      </c>
      <c r="C626" s="14" t="s">
        <v>1581</v>
      </c>
      <c r="D626" s="9" t="s">
        <v>31</v>
      </c>
      <c r="E626" s="15" t="str">
        <f t="shared" si="13"/>
        <v>Exenatide</v>
      </c>
      <c r="F626" s="12">
        <f>DATE(2017,5,1)</f>
        <v>42856</v>
      </c>
      <c r="G626" s="13">
        <v>2005</v>
      </c>
      <c r="H626" s="13">
        <v>1</v>
      </c>
      <c r="I626" s="11" t="s">
        <v>45</v>
      </c>
      <c r="J626" s="15" t="s">
        <v>46</v>
      </c>
    </row>
    <row r="627" spans="1:12" s="14" customFormat="1" ht="12" customHeight="1" x14ac:dyDescent="0.25">
      <c r="A627" s="9">
        <v>625</v>
      </c>
      <c r="B627" s="14" t="s">
        <v>1582</v>
      </c>
      <c r="C627" s="14" t="s">
        <v>1583</v>
      </c>
      <c r="D627" s="9" t="s">
        <v>14</v>
      </c>
      <c r="E627" s="15" t="str">
        <f t="shared" si="13"/>
        <v>Ezetimibe</v>
      </c>
      <c r="F627" s="12">
        <f>DATE(2018,2,19)</f>
        <v>43150</v>
      </c>
      <c r="G627" s="13">
        <v>2002</v>
      </c>
      <c r="H627" s="13">
        <v>1</v>
      </c>
      <c r="I627" s="11" t="s">
        <v>49</v>
      </c>
      <c r="J627" s="15" t="s">
        <v>161</v>
      </c>
    </row>
    <row r="628" spans="1:12" s="14" customFormat="1" ht="12" customHeight="1" x14ac:dyDescent="0.25">
      <c r="A628" s="9">
        <v>626</v>
      </c>
      <c r="B628" s="14" t="s">
        <v>1584</v>
      </c>
      <c r="C628" s="14" t="s">
        <v>1585</v>
      </c>
      <c r="D628" s="9" t="s">
        <v>31</v>
      </c>
      <c r="E628" s="15" t="str">
        <f t="shared" si="13"/>
        <v>Ezogabine</v>
      </c>
      <c r="F628" s="12">
        <f>DATE(2018,2,19)</f>
        <v>43150</v>
      </c>
      <c r="G628" s="13">
        <v>2011</v>
      </c>
      <c r="H628" s="13">
        <v>1</v>
      </c>
      <c r="I628" s="11" t="s">
        <v>100</v>
      </c>
      <c r="J628" s="15" t="s">
        <v>630</v>
      </c>
    </row>
    <row r="629" spans="1:12" s="14" customFormat="1" ht="12" customHeight="1" x14ac:dyDescent="0.25">
      <c r="A629" s="9">
        <v>627</v>
      </c>
      <c r="B629" s="14" t="s">
        <v>1586</v>
      </c>
      <c r="C629" s="14" t="s">
        <v>1587</v>
      </c>
      <c r="D629" s="9" t="s">
        <v>31</v>
      </c>
      <c r="E629" s="15" t="str">
        <f t="shared" si="13"/>
        <v>Famciclovir</v>
      </c>
      <c r="F629" s="12">
        <f>DATE(2018,1,29)</f>
        <v>43129</v>
      </c>
      <c r="G629" s="13">
        <v>1994</v>
      </c>
      <c r="H629" s="13">
        <v>1</v>
      </c>
      <c r="I629" s="11" t="s">
        <v>15</v>
      </c>
      <c r="J629" s="15" t="s">
        <v>88</v>
      </c>
    </row>
    <row r="630" spans="1:12" s="14" customFormat="1" ht="12" customHeight="1" x14ac:dyDescent="0.25">
      <c r="A630" s="9">
        <v>628</v>
      </c>
      <c r="B630" s="14" t="s">
        <v>1588</v>
      </c>
      <c r="C630" s="14" t="s">
        <v>1589</v>
      </c>
      <c r="D630" s="9" t="s">
        <v>14</v>
      </c>
      <c r="E630" s="15" t="str">
        <f t="shared" si="13"/>
        <v>Famotidine</v>
      </c>
      <c r="F630" s="12">
        <f>DATE(2018,1,29)</f>
        <v>43129</v>
      </c>
      <c r="G630" s="13">
        <v>1986</v>
      </c>
      <c r="H630" s="13">
        <v>1</v>
      </c>
      <c r="I630" s="11" t="s">
        <v>182</v>
      </c>
      <c r="J630" s="15" t="s">
        <v>918</v>
      </c>
    </row>
    <row r="631" spans="1:12" s="14" customFormat="1" ht="12" customHeight="1" x14ac:dyDescent="0.25">
      <c r="A631" s="9">
        <v>629</v>
      </c>
      <c r="B631" s="14" t="s">
        <v>1590</v>
      </c>
      <c r="C631" s="14" t="s">
        <v>1591</v>
      </c>
      <c r="D631" s="9" t="s">
        <v>31</v>
      </c>
      <c r="E631" s="14" t="s">
        <v>1592</v>
      </c>
      <c r="F631" s="22">
        <f>DATE(2024,7,31)</f>
        <v>45504</v>
      </c>
      <c r="G631" s="13">
        <v>2022</v>
      </c>
      <c r="H631" s="13">
        <v>1</v>
      </c>
      <c r="I631" s="11" t="s">
        <v>78</v>
      </c>
      <c r="J631" s="15" t="s">
        <v>115</v>
      </c>
      <c r="K631" s="13"/>
      <c r="L631" s="13"/>
    </row>
    <row r="632" spans="1:12" s="14" customFormat="1" ht="12" customHeight="1" x14ac:dyDescent="0.25">
      <c r="A632" s="9">
        <v>630</v>
      </c>
      <c r="B632" s="14" t="s">
        <v>1593</v>
      </c>
      <c r="C632" s="14" t="s">
        <v>1594</v>
      </c>
      <c r="D632" s="9" t="s">
        <v>14</v>
      </c>
      <c r="E632" s="15" t="str">
        <f t="shared" ref="E632:E639" si="14">B632</f>
        <v>Febuxostat</v>
      </c>
      <c r="F632" s="12">
        <f>DATE(2018,1,29)</f>
        <v>43129</v>
      </c>
      <c r="G632" s="13">
        <v>2009</v>
      </c>
      <c r="H632" s="13">
        <v>1</v>
      </c>
      <c r="I632" s="11" t="s">
        <v>19</v>
      </c>
      <c r="J632" s="15" t="s">
        <v>167</v>
      </c>
    </row>
    <row r="633" spans="1:12" s="14" customFormat="1" ht="12" customHeight="1" x14ac:dyDescent="0.25">
      <c r="A633" s="9">
        <v>631</v>
      </c>
      <c r="B633" s="14" t="s">
        <v>1595</v>
      </c>
      <c r="C633" s="14" t="s">
        <v>1596</v>
      </c>
      <c r="D633" s="9" t="s">
        <v>36</v>
      </c>
      <c r="E633" s="15" t="str">
        <f t="shared" si="14"/>
        <v>Fedratinib</v>
      </c>
      <c r="F633" s="12">
        <f>DATE(2022,8,30)</f>
        <v>44803</v>
      </c>
      <c r="G633" s="13">
        <v>2019</v>
      </c>
      <c r="H633" s="13">
        <v>1</v>
      </c>
      <c r="I633" s="11" t="s">
        <v>230</v>
      </c>
      <c r="J633" s="15" t="s">
        <v>1597</v>
      </c>
    </row>
    <row r="634" spans="1:12" s="14" customFormat="1" ht="12" customHeight="1" x14ac:dyDescent="0.25">
      <c r="A634" s="9">
        <v>632</v>
      </c>
      <c r="B634" s="14" t="s">
        <v>1598</v>
      </c>
      <c r="C634" s="14" t="s">
        <v>1599</v>
      </c>
      <c r="D634" s="13" t="s">
        <v>44</v>
      </c>
      <c r="E634" s="15" t="str">
        <f t="shared" si="14"/>
        <v>Felbamate</v>
      </c>
      <c r="F634" s="20">
        <f>DATE(2018,1,29)</f>
        <v>43129</v>
      </c>
      <c r="G634" s="13">
        <v>1993</v>
      </c>
      <c r="H634" s="13">
        <v>1</v>
      </c>
      <c r="I634" s="15" t="s">
        <v>100</v>
      </c>
      <c r="J634" s="15" t="s">
        <v>630</v>
      </c>
    </row>
    <row r="635" spans="1:12" s="14" customFormat="1" ht="12" customHeight="1" x14ac:dyDescent="0.25">
      <c r="A635" s="9">
        <v>633</v>
      </c>
      <c r="B635" s="14" t="s">
        <v>1600</v>
      </c>
      <c r="C635" s="14" t="s">
        <v>1601</v>
      </c>
      <c r="D635" s="13" t="s">
        <v>31</v>
      </c>
      <c r="E635" s="15" t="str">
        <f t="shared" si="14"/>
        <v>Felodipine</v>
      </c>
      <c r="F635" s="20">
        <f>DATE(2017,1,11)</f>
        <v>42746</v>
      </c>
      <c r="G635" s="13">
        <v>1991</v>
      </c>
      <c r="H635" s="13">
        <v>1</v>
      </c>
      <c r="I635" s="15" t="s">
        <v>49</v>
      </c>
      <c r="J635" s="15" t="s">
        <v>50</v>
      </c>
    </row>
    <row r="636" spans="1:12" s="14" customFormat="1" ht="12" customHeight="1" x14ac:dyDescent="0.25">
      <c r="A636" s="9">
        <v>634</v>
      </c>
      <c r="B636" s="14" t="s">
        <v>1602</v>
      </c>
      <c r="C636" s="14" t="s">
        <v>1603</v>
      </c>
      <c r="D636" s="9" t="s">
        <v>44</v>
      </c>
      <c r="E636" s="15" t="str">
        <f t="shared" si="14"/>
        <v>Fenofibrate</v>
      </c>
      <c r="F636" s="12">
        <f>DATE(2025,6,30)</f>
        <v>45838</v>
      </c>
      <c r="G636" s="13">
        <v>1993</v>
      </c>
      <c r="H636" s="13">
        <v>1</v>
      </c>
      <c r="I636" s="11" t="s">
        <v>49</v>
      </c>
      <c r="J636" s="15" t="s">
        <v>161</v>
      </c>
    </row>
    <row r="637" spans="1:12" s="14" customFormat="1" ht="12" customHeight="1" x14ac:dyDescent="0.25">
      <c r="A637" s="9">
        <v>635</v>
      </c>
      <c r="B637" s="14" t="s">
        <v>1604</v>
      </c>
      <c r="C637" s="14" t="s">
        <v>1605</v>
      </c>
      <c r="D637" s="9" t="s">
        <v>36</v>
      </c>
      <c r="E637" s="15" t="str">
        <f t="shared" si="14"/>
        <v>Fenoprofen</v>
      </c>
      <c r="F637" s="12">
        <f>DATE(2025,7,30)</f>
        <v>45868</v>
      </c>
      <c r="G637" s="13">
        <v>1976</v>
      </c>
      <c r="H637" s="13">
        <v>1</v>
      </c>
      <c r="I637" s="11" t="s">
        <v>54</v>
      </c>
      <c r="J637" s="15" t="s">
        <v>55</v>
      </c>
    </row>
    <row r="638" spans="1:12" s="14" customFormat="1" ht="12" customHeight="1" x14ac:dyDescent="0.25">
      <c r="A638" s="9">
        <v>636</v>
      </c>
      <c r="B638" s="14" t="s">
        <v>147</v>
      </c>
      <c r="C638" s="14" t="s">
        <v>1606</v>
      </c>
      <c r="D638" s="9" t="s">
        <v>31</v>
      </c>
      <c r="E638" s="15" t="str">
        <f t="shared" si="14"/>
        <v>Fentanyl</v>
      </c>
      <c r="F638" s="12">
        <f>DATE(2018,1,29)</f>
        <v>43129</v>
      </c>
      <c r="G638" s="13">
        <v>1968</v>
      </c>
      <c r="H638" s="13">
        <v>1</v>
      </c>
      <c r="I638" s="11" t="s">
        <v>54</v>
      </c>
      <c r="J638" s="15" t="s">
        <v>148</v>
      </c>
    </row>
    <row r="639" spans="1:12" s="14" customFormat="1" ht="12" customHeight="1" x14ac:dyDescent="0.25">
      <c r="A639" s="9">
        <v>637</v>
      </c>
      <c r="B639" s="14" t="s">
        <v>1607</v>
      </c>
      <c r="C639" s="14" t="s">
        <v>188</v>
      </c>
      <c r="D639" s="9" t="s">
        <v>31</v>
      </c>
      <c r="E639" s="15" t="str">
        <f t="shared" si="14"/>
        <v>Fenugreek</v>
      </c>
      <c r="F639" s="12">
        <f>DATE(2018,1,29)</f>
        <v>43129</v>
      </c>
      <c r="G639" s="13" t="s">
        <v>174</v>
      </c>
      <c r="H639" s="13">
        <v>1</v>
      </c>
      <c r="I639" s="11" t="s">
        <v>175</v>
      </c>
      <c r="J639" s="15" t="s">
        <v>46</v>
      </c>
    </row>
    <row r="640" spans="1:12" s="14" customFormat="1" ht="12" customHeight="1" x14ac:dyDescent="0.25">
      <c r="A640" s="9">
        <v>638</v>
      </c>
      <c r="B640" s="14" t="s">
        <v>1608</v>
      </c>
      <c r="C640" s="14" t="s">
        <v>1609</v>
      </c>
      <c r="D640" s="9" t="s">
        <v>53</v>
      </c>
      <c r="E640" s="15" t="s">
        <v>1610</v>
      </c>
      <c r="F640" s="12">
        <f>DATE(2018,1,29)</f>
        <v>43129</v>
      </c>
      <c r="G640" s="13" t="s">
        <v>174</v>
      </c>
      <c r="H640" s="13">
        <v>1</v>
      </c>
      <c r="I640" s="11" t="s">
        <v>190</v>
      </c>
      <c r="J640" s="15" t="s">
        <v>1102</v>
      </c>
    </row>
    <row r="641" spans="1:35" s="14" customFormat="1" ht="12" customHeight="1" x14ac:dyDescent="0.25">
      <c r="A641" s="9">
        <v>639</v>
      </c>
      <c r="B641" s="14" t="s">
        <v>1611</v>
      </c>
      <c r="C641" s="14" t="s">
        <v>1612</v>
      </c>
      <c r="D641" s="9" t="s">
        <v>31</v>
      </c>
      <c r="E641" s="15" t="str">
        <f>B641</f>
        <v>Fesoterodine</v>
      </c>
      <c r="F641" s="12">
        <f>DATE(2023,7,12)</f>
        <v>45119</v>
      </c>
      <c r="G641" s="13">
        <v>2008</v>
      </c>
      <c r="H641" s="13">
        <v>1</v>
      </c>
      <c r="I641" s="11" t="s">
        <v>151</v>
      </c>
      <c r="J641" s="15" t="s">
        <v>1108</v>
      </c>
    </row>
    <row r="642" spans="1:35" s="14" customFormat="1" ht="12" customHeight="1" x14ac:dyDescent="0.25">
      <c r="A642" s="9">
        <v>640</v>
      </c>
      <c r="B642" s="14" t="s">
        <v>1613</v>
      </c>
      <c r="C642" s="14" t="s">
        <v>1613</v>
      </c>
      <c r="D642" s="9" t="s">
        <v>23</v>
      </c>
      <c r="E642" s="15" t="s">
        <v>1613</v>
      </c>
      <c r="F642" s="12">
        <f>DATE(2023,7,18)</f>
        <v>45125</v>
      </c>
      <c r="G642" s="16">
        <v>2021</v>
      </c>
      <c r="H642" s="13">
        <v>1</v>
      </c>
      <c r="I642" s="11" t="s">
        <v>15</v>
      </c>
      <c r="J642" s="15" t="s">
        <v>1614</v>
      </c>
    </row>
    <row r="643" spans="1:35" s="14" customFormat="1" ht="12" customHeight="1" x14ac:dyDescent="0.25">
      <c r="A643" s="9">
        <v>641</v>
      </c>
      <c r="B643" s="14" t="s">
        <v>1615</v>
      </c>
      <c r="C643" s="14" t="s">
        <v>1616</v>
      </c>
      <c r="D643" s="9" t="s">
        <v>31</v>
      </c>
      <c r="E643" s="15" t="str">
        <f>B643</f>
        <v>Fexofenadine</v>
      </c>
      <c r="F643" s="12">
        <f>DATE(2017,1,17)</f>
        <v>42752</v>
      </c>
      <c r="G643" s="13">
        <v>1996</v>
      </c>
      <c r="H643" s="13">
        <v>1</v>
      </c>
      <c r="I643" s="11" t="s">
        <v>73</v>
      </c>
      <c r="J643" s="15" t="s">
        <v>85</v>
      </c>
    </row>
    <row r="644" spans="1:35" s="14" customFormat="1" ht="12" customHeight="1" x14ac:dyDescent="0.25">
      <c r="A644" s="9">
        <v>642</v>
      </c>
      <c r="B644" s="15" t="s">
        <v>1617</v>
      </c>
      <c r="C644" s="14" t="s">
        <v>1618</v>
      </c>
      <c r="D644" s="9" t="s">
        <v>36</v>
      </c>
      <c r="E644" s="15" t="s">
        <v>1617</v>
      </c>
      <c r="F644" s="12">
        <f>DATE(2024,10,10)</f>
        <v>45575</v>
      </c>
      <c r="G644" s="13">
        <v>2019</v>
      </c>
      <c r="H644" s="13">
        <v>1</v>
      </c>
      <c r="I644" s="11" t="s">
        <v>45</v>
      </c>
      <c r="J644" s="15" t="s">
        <v>1619</v>
      </c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s="14" customFormat="1" ht="12" customHeight="1" x14ac:dyDescent="0.25">
      <c r="A645" s="9">
        <v>643</v>
      </c>
      <c r="B645" s="14" t="s">
        <v>1620</v>
      </c>
      <c r="C645" s="14" t="s">
        <v>1621</v>
      </c>
      <c r="D645" s="9" t="s">
        <v>31</v>
      </c>
      <c r="E645" s="15" t="str">
        <f>B645</f>
        <v>Fidaxomicin</v>
      </c>
      <c r="F645" s="12">
        <f>DATE(2017,8,10)</f>
        <v>42957</v>
      </c>
      <c r="G645" s="13">
        <v>2011</v>
      </c>
      <c r="H645" s="13">
        <v>1</v>
      </c>
      <c r="I645" s="11" t="s">
        <v>15</v>
      </c>
      <c r="J645" s="15" t="s">
        <v>225</v>
      </c>
    </row>
    <row r="646" spans="1:35" s="14" customFormat="1" ht="12" customHeight="1" x14ac:dyDescent="0.25">
      <c r="A646" s="9">
        <v>644</v>
      </c>
      <c r="B646" s="14" t="s">
        <v>1622</v>
      </c>
      <c r="C646" s="14" t="s">
        <v>1623</v>
      </c>
      <c r="D646" s="9" t="s">
        <v>31</v>
      </c>
      <c r="E646" s="15" t="s">
        <v>1375</v>
      </c>
      <c r="F646" s="12">
        <f>DATE(2017,10,30)</f>
        <v>43038</v>
      </c>
      <c r="G646" s="13">
        <v>1991</v>
      </c>
      <c r="H646" s="13">
        <v>1</v>
      </c>
      <c r="I646" s="11" t="s">
        <v>230</v>
      </c>
      <c r="J646" s="15" t="s">
        <v>1624</v>
      </c>
    </row>
    <row r="647" spans="1:35" s="14" customFormat="1" ht="12" customHeight="1" x14ac:dyDescent="0.25">
      <c r="A647" s="9">
        <v>645</v>
      </c>
      <c r="B647" s="14" t="s">
        <v>1625</v>
      </c>
      <c r="C647" s="14" t="s">
        <v>1626</v>
      </c>
      <c r="D647" s="9" t="s">
        <v>31</v>
      </c>
      <c r="E647" s="15" t="str">
        <f>B647</f>
        <v>Finasteride</v>
      </c>
      <c r="F647" s="12">
        <f>DATE(2018,1,8)</f>
        <v>43108</v>
      </c>
      <c r="G647" s="13">
        <v>1992</v>
      </c>
      <c r="H647" s="13">
        <v>1</v>
      </c>
      <c r="I647" s="11" t="s">
        <v>151</v>
      </c>
      <c r="J647" s="15" t="s">
        <v>152</v>
      </c>
    </row>
    <row r="648" spans="1:35" s="14" customFormat="1" ht="12" customHeight="1" x14ac:dyDescent="0.25">
      <c r="A648" s="9">
        <v>646</v>
      </c>
      <c r="B648" s="14" t="s">
        <v>1627</v>
      </c>
      <c r="C648" s="14" t="s">
        <v>1628</v>
      </c>
      <c r="D648" s="9" t="s">
        <v>31</v>
      </c>
      <c r="E648" s="15" t="s">
        <v>1627</v>
      </c>
      <c r="F648" s="12">
        <f>DATE(2023,9,20)</f>
        <v>45189</v>
      </c>
      <c r="G648" s="13">
        <v>2021</v>
      </c>
      <c r="H648" s="13">
        <v>1</v>
      </c>
      <c r="I648" s="11" t="s">
        <v>390</v>
      </c>
      <c r="J648" s="15" t="s">
        <v>1629</v>
      </c>
    </row>
    <row r="649" spans="1:35" s="14" customFormat="1" ht="12" customHeight="1" x14ac:dyDescent="0.25">
      <c r="A649" s="9">
        <v>647</v>
      </c>
      <c r="B649" s="14" t="s">
        <v>1630</v>
      </c>
      <c r="C649" s="14" t="s">
        <v>1631</v>
      </c>
      <c r="D649" s="9" t="s">
        <v>14</v>
      </c>
      <c r="E649" s="15" t="str">
        <f>B649</f>
        <v>Fingolimod</v>
      </c>
      <c r="F649" s="12">
        <f>DATE(2025,11,25)</f>
        <v>45986</v>
      </c>
      <c r="G649" s="13">
        <v>2010</v>
      </c>
      <c r="H649" s="13">
        <v>1</v>
      </c>
      <c r="I649" s="11" t="s">
        <v>100</v>
      </c>
      <c r="J649" s="15" t="s">
        <v>1076</v>
      </c>
    </row>
    <row r="650" spans="1:35" s="14" customFormat="1" ht="12" customHeight="1" x14ac:dyDescent="0.25">
      <c r="A650" s="9">
        <v>648</v>
      </c>
      <c r="B650" s="14" t="s">
        <v>1632</v>
      </c>
      <c r="C650" s="14" t="s">
        <v>188</v>
      </c>
      <c r="D650" s="9" t="s">
        <v>31</v>
      </c>
      <c r="E650" s="15" t="s">
        <v>189</v>
      </c>
      <c r="F650" s="12">
        <f>DATE(2017,4,3)</f>
        <v>42828</v>
      </c>
      <c r="G650" s="13" t="s">
        <v>174</v>
      </c>
      <c r="H650" s="13">
        <v>1</v>
      </c>
      <c r="I650" s="11" t="s">
        <v>190</v>
      </c>
      <c r="J650" s="15" t="s">
        <v>161</v>
      </c>
    </row>
    <row r="651" spans="1:35" s="14" customFormat="1" ht="12" customHeight="1" x14ac:dyDescent="0.25">
      <c r="A651" s="9">
        <v>649</v>
      </c>
      <c r="B651" s="14" t="s">
        <v>1633</v>
      </c>
      <c r="C651" s="14" t="s">
        <v>1634</v>
      </c>
      <c r="D651" s="9" t="s">
        <v>31</v>
      </c>
      <c r="E651" s="15" t="s">
        <v>189</v>
      </c>
      <c r="F651" s="12"/>
      <c r="G651" s="13">
        <v>2018</v>
      </c>
      <c r="H651" s="13">
        <v>0</v>
      </c>
      <c r="I651" s="11" t="s">
        <v>190</v>
      </c>
      <c r="J651" s="15" t="s">
        <v>1635</v>
      </c>
    </row>
    <row r="652" spans="1:35" s="14" customFormat="1" ht="12" customHeight="1" x14ac:dyDescent="0.25">
      <c r="A652" s="9">
        <v>650</v>
      </c>
      <c r="B652" s="15" t="s">
        <v>1636</v>
      </c>
      <c r="C652" s="14" t="s">
        <v>1637</v>
      </c>
      <c r="D652" s="9" t="s">
        <v>36</v>
      </c>
      <c r="E652" s="15" t="s">
        <v>1636</v>
      </c>
      <c r="F652" s="12">
        <f>DATE(2025,7,25)</f>
        <v>45863</v>
      </c>
      <c r="G652" s="13">
        <v>2025</v>
      </c>
      <c r="H652" s="13">
        <v>1</v>
      </c>
      <c r="I652" s="11" t="s">
        <v>230</v>
      </c>
      <c r="J652" s="15" t="s">
        <v>996</v>
      </c>
      <c r="K652" s="13"/>
    </row>
    <row r="653" spans="1:35" s="14" customFormat="1" ht="12" customHeight="1" x14ac:dyDescent="0.25">
      <c r="A653" s="9">
        <v>651</v>
      </c>
      <c r="B653" s="14" t="s">
        <v>1638</v>
      </c>
      <c r="C653" s="14" t="s">
        <v>1639</v>
      </c>
      <c r="D653" s="9" t="s">
        <v>14</v>
      </c>
      <c r="E653" s="15" t="str">
        <f t="shared" ref="E653:E658" si="15">B653</f>
        <v>Flavocoxid</v>
      </c>
      <c r="F653" s="12">
        <f>DATE(2018,1,29)</f>
        <v>43129</v>
      </c>
      <c r="G653" s="13">
        <v>2004</v>
      </c>
      <c r="H653" s="13">
        <v>1</v>
      </c>
      <c r="I653" s="11" t="s">
        <v>175</v>
      </c>
      <c r="J653" s="15" t="s">
        <v>769</v>
      </c>
    </row>
    <row r="654" spans="1:35" s="14" customFormat="1" ht="12" customHeight="1" x14ac:dyDescent="0.25">
      <c r="A654" s="9">
        <v>652</v>
      </c>
      <c r="B654" s="14" t="s">
        <v>1640</v>
      </c>
      <c r="C654" s="14" t="s">
        <v>1641</v>
      </c>
      <c r="D654" s="13" t="s">
        <v>31</v>
      </c>
      <c r="E654" s="15" t="str">
        <f t="shared" si="15"/>
        <v>Flavoxate</v>
      </c>
      <c r="F654" s="12">
        <f>DATE(2017,7,27)</f>
        <v>42943</v>
      </c>
      <c r="G654" s="13">
        <v>1970</v>
      </c>
      <c r="H654" s="13">
        <v>1</v>
      </c>
      <c r="I654" s="15" t="s">
        <v>151</v>
      </c>
      <c r="J654" s="15" t="s">
        <v>1108</v>
      </c>
    </row>
    <row r="655" spans="1:35" s="14" customFormat="1" ht="12" customHeight="1" x14ac:dyDescent="0.25">
      <c r="A655" s="9">
        <v>653</v>
      </c>
      <c r="B655" s="14" t="s">
        <v>1642</v>
      </c>
      <c r="C655" s="14" t="s">
        <v>1643</v>
      </c>
      <c r="D655" s="9" t="s">
        <v>14</v>
      </c>
      <c r="E655" s="15" t="str">
        <f t="shared" si="15"/>
        <v>Flecainide</v>
      </c>
      <c r="F655" s="12">
        <f>DATE(2018,1,29)</f>
        <v>43129</v>
      </c>
      <c r="G655" s="13">
        <v>1985</v>
      </c>
      <c r="H655" s="13">
        <v>1</v>
      </c>
      <c r="I655" s="11" t="s">
        <v>49</v>
      </c>
      <c r="J655" s="15" t="s">
        <v>244</v>
      </c>
    </row>
    <row r="656" spans="1:35" s="14" customFormat="1" ht="12" customHeight="1" x14ac:dyDescent="0.25">
      <c r="A656" s="9">
        <v>654</v>
      </c>
      <c r="B656" s="14" t="s">
        <v>1644</v>
      </c>
      <c r="C656" s="14" t="s">
        <v>1645</v>
      </c>
      <c r="D656" s="9" t="s">
        <v>23</v>
      </c>
      <c r="E656" s="15" t="str">
        <f t="shared" si="15"/>
        <v>Flibanserin</v>
      </c>
      <c r="F656" s="12">
        <f>DATE(2018,1,29)</f>
        <v>43129</v>
      </c>
      <c r="G656" s="13">
        <v>2015</v>
      </c>
      <c r="H656" s="13">
        <v>1</v>
      </c>
      <c r="I656" s="11" t="s">
        <v>100</v>
      </c>
      <c r="J656" s="15" t="s">
        <v>1646</v>
      </c>
    </row>
    <row r="657" spans="1:10" s="14" customFormat="1" ht="12" customHeight="1" x14ac:dyDescent="0.25">
      <c r="A657" s="9">
        <v>655</v>
      </c>
      <c r="B657" s="14" t="s">
        <v>1647</v>
      </c>
      <c r="C657" s="14" t="s">
        <v>1648</v>
      </c>
      <c r="D657" s="9" t="s">
        <v>166</v>
      </c>
      <c r="E657" s="15" t="str">
        <f t="shared" si="15"/>
        <v>Floxuridine</v>
      </c>
      <c r="F657" s="12">
        <f>DATE(2018,2,1)</f>
        <v>43132</v>
      </c>
      <c r="G657" s="13">
        <v>1970</v>
      </c>
      <c r="H657" s="13">
        <v>1</v>
      </c>
      <c r="I657" s="11" t="s">
        <v>24</v>
      </c>
      <c r="J657" s="15" t="s">
        <v>207</v>
      </c>
    </row>
    <row r="658" spans="1:10" s="14" customFormat="1" ht="12" customHeight="1" x14ac:dyDescent="0.25">
      <c r="A658" s="9">
        <v>656</v>
      </c>
      <c r="B658" s="14" t="s">
        <v>1649</v>
      </c>
      <c r="C658" s="14" t="s">
        <v>1650</v>
      </c>
      <c r="D658" s="9" t="s">
        <v>44</v>
      </c>
      <c r="E658" s="15" t="str">
        <f t="shared" si="15"/>
        <v>Fluconazole</v>
      </c>
      <c r="F658" s="12">
        <f>DATE(2017,5,18)</f>
        <v>42873</v>
      </c>
      <c r="G658" s="13">
        <v>1990</v>
      </c>
      <c r="H658" s="13">
        <v>1</v>
      </c>
      <c r="I658" s="11" t="s">
        <v>15</v>
      </c>
      <c r="J658" s="15" t="s">
        <v>271</v>
      </c>
    </row>
    <row r="659" spans="1:10" s="14" customFormat="1" ht="12" customHeight="1" x14ac:dyDescent="0.25">
      <c r="A659" s="9">
        <v>657</v>
      </c>
      <c r="B659" s="14" t="s">
        <v>1651</v>
      </c>
      <c r="C659" s="14" t="s">
        <v>1652</v>
      </c>
      <c r="D659" s="13" t="s">
        <v>166</v>
      </c>
      <c r="E659" s="15" t="s">
        <v>973</v>
      </c>
      <c r="F659" s="20">
        <f>DATE(2020,10,20)</f>
        <v>44124</v>
      </c>
      <c r="G659" s="13" t="s">
        <v>512</v>
      </c>
      <c r="H659" s="13">
        <v>1</v>
      </c>
      <c r="I659" s="15" t="s">
        <v>15</v>
      </c>
      <c r="J659" s="15" t="s">
        <v>225</v>
      </c>
    </row>
    <row r="660" spans="1:10" s="10" customFormat="1" ht="12" customHeight="1" x14ac:dyDescent="0.25">
      <c r="A660" s="9">
        <v>658</v>
      </c>
      <c r="B660" s="10" t="s">
        <v>1653</v>
      </c>
      <c r="C660" s="10" t="s">
        <v>1654</v>
      </c>
      <c r="D660" s="9" t="s">
        <v>36</v>
      </c>
      <c r="E660" s="11" t="str">
        <f>B660</f>
        <v>Flucytosine</v>
      </c>
      <c r="F660" s="12">
        <f>DATE(2018,2,1)</f>
        <v>43132</v>
      </c>
      <c r="G660" s="9">
        <v>1991</v>
      </c>
      <c r="H660" s="9">
        <v>1</v>
      </c>
      <c r="I660" s="11" t="s">
        <v>15</v>
      </c>
      <c r="J660" s="11" t="s">
        <v>271</v>
      </c>
    </row>
    <row r="661" spans="1:10" s="14" customFormat="1" ht="12" customHeight="1" x14ac:dyDescent="0.25">
      <c r="A661" s="9">
        <v>659</v>
      </c>
      <c r="B661" s="14" t="s">
        <v>1655</v>
      </c>
      <c r="C661" s="14" t="s">
        <v>1656</v>
      </c>
      <c r="D661" s="9" t="s">
        <v>23</v>
      </c>
      <c r="E661" s="15" t="str">
        <f>B661</f>
        <v>Fludarabine</v>
      </c>
      <c r="F661" s="12">
        <f>DATE(2018,2,1)</f>
        <v>43132</v>
      </c>
      <c r="G661" s="13">
        <v>1991</v>
      </c>
      <c r="H661" s="13">
        <v>1</v>
      </c>
      <c r="I661" s="11" t="s">
        <v>24</v>
      </c>
      <c r="J661" s="15" t="s">
        <v>504</v>
      </c>
    </row>
    <row r="662" spans="1:10" s="14" customFormat="1" ht="12" customHeight="1" x14ac:dyDescent="0.25">
      <c r="A662" s="9">
        <v>660</v>
      </c>
      <c r="B662" s="14" t="s">
        <v>1657</v>
      </c>
      <c r="C662" s="14" t="s">
        <v>1658</v>
      </c>
      <c r="D662" s="9" t="s">
        <v>31</v>
      </c>
      <c r="E662" s="15"/>
      <c r="F662" s="12"/>
      <c r="G662" s="13">
        <v>1955</v>
      </c>
      <c r="H662" s="13">
        <v>0</v>
      </c>
      <c r="I662" s="11" t="s">
        <v>45</v>
      </c>
      <c r="J662" s="15" t="s">
        <v>291</v>
      </c>
    </row>
    <row r="663" spans="1:10" s="14" customFormat="1" ht="12" customHeight="1" x14ac:dyDescent="0.25">
      <c r="A663" s="9">
        <v>661</v>
      </c>
      <c r="B663" s="14" t="s">
        <v>1659</v>
      </c>
      <c r="C663" s="14" t="s">
        <v>1000</v>
      </c>
      <c r="D663" s="9" t="s">
        <v>31</v>
      </c>
      <c r="E663" s="15" t="s">
        <v>688</v>
      </c>
      <c r="F663" s="12">
        <f>DATE(2019,6,5)</f>
        <v>43621</v>
      </c>
      <c r="G663" s="13" t="s">
        <v>174</v>
      </c>
      <c r="H663" s="13">
        <v>1</v>
      </c>
      <c r="I663" s="11" t="s">
        <v>190</v>
      </c>
      <c r="J663" s="15" t="s">
        <v>1660</v>
      </c>
    </row>
    <row r="664" spans="1:10" s="14" customFormat="1" ht="12" customHeight="1" x14ac:dyDescent="0.25">
      <c r="A664" s="9">
        <v>662</v>
      </c>
      <c r="B664" s="14" t="s">
        <v>1661</v>
      </c>
      <c r="C664" s="14" t="s">
        <v>1662</v>
      </c>
      <c r="D664" s="9" t="s">
        <v>166</v>
      </c>
      <c r="E664" s="15" t="str">
        <f>B664</f>
        <v>Fluorouracil</v>
      </c>
      <c r="F664" s="12">
        <f>DATE(2018,2,1)</f>
        <v>43132</v>
      </c>
      <c r="G664" s="13">
        <v>1962</v>
      </c>
      <c r="H664" s="13">
        <v>1</v>
      </c>
      <c r="I664" s="11" t="s">
        <v>24</v>
      </c>
      <c r="J664" s="15" t="s">
        <v>207</v>
      </c>
    </row>
    <row r="665" spans="1:10" s="14" customFormat="1" ht="12" customHeight="1" x14ac:dyDescent="0.25">
      <c r="A665" s="9">
        <v>663</v>
      </c>
      <c r="B665" s="14" t="s">
        <v>1663</v>
      </c>
      <c r="C665" s="14" t="s">
        <v>1664</v>
      </c>
      <c r="D665" s="9" t="s">
        <v>14</v>
      </c>
      <c r="E665" s="15" t="str">
        <f>B665</f>
        <v>Fluoxetine</v>
      </c>
      <c r="F665" s="12">
        <f>DATE(2018,2,2)</f>
        <v>43133</v>
      </c>
      <c r="G665" s="13">
        <v>1987</v>
      </c>
      <c r="H665" s="13">
        <v>1</v>
      </c>
      <c r="I665" s="11" t="s">
        <v>100</v>
      </c>
      <c r="J665" s="15" t="s">
        <v>250</v>
      </c>
    </row>
    <row r="666" spans="1:10" s="14" customFormat="1" ht="12" customHeight="1" x14ac:dyDescent="0.25">
      <c r="A666" s="9">
        <v>664</v>
      </c>
      <c r="B666" s="14" t="s">
        <v>1665</v>
      </c>
      <c r="C666" s="14" t="s">
        <v>1666</v>
      </c>
      <c r="D666" s="9" t="s">
        <v>166</v>
      </c>
      <c r="E666" s="15" t="s">
        <v>1085</v>
      </c>
      <c r="F666" s="12">
        <f>DATE(2020,6,24)</f>
        <v>44006</v>
      </c>
      <c r="G666" s="13" t="s">
        <v>63</v>
      </c>
      <c r="H666" s="13">
        <v>1</v>
      </c>
      <c r="I666" s="11" t="s">
        <v>45</v>
      </c>
      <c r="J666" s="15" t="s">
        <v>291</v>
      </c>
    </row>
    <row r="667" spans="1:10" s="14" customFormat="1" ht="12" customHeight="1" x14ac:dyDescent="0.25">
      <c r="A667" s="9">
        <v>665</v>
      </c>
      <c r="B667" s="14" t="s">
        <v>1667</v>
      </c>
      <c r="C667" s="14" t="s">
        <v>1668</v>
      </c>
      <c r="D667" s="9" t="s">
        <v>14</v>
      </c>
      <c r="E667" s="15" t="str">
        <f t="shared" ref="E667:E673" si="16">B667</f>
        <v>Fluphenazine</v>
      </c>
      <c r="F667" s="12">
        <f>DATE(2018,2,2)</f>
        <v>43133</v>
      </c>
      <c r="G667" s="13">
        <v>1972</v>
      </c>
      <c r="H667" s="13">
        <v>1</v>
      </c>
      <c r="I667" s="11" t="s">
        <v>100</v>
      </c>
      <c r="J667" s="15" t="s">
        <v>328</v>
      </c>
    </row>
    <row r="668" spans="1:10" s="14" customFormat="1" ht="12" customHeight="1" x14ac:dyDescent="0.25">
      <c r="A668" s="9">
        <v>666</v>
      </c>
      <c r="B668" s="14" t="s">
        <v>1669</v>
      </c>
      <c r="C668" s="14" t="s">
        <v>1670</v>
      </c>
      <c r="D668" s="9" t="s">
        <v>36</v>
      </c>
      <c r="E668" s="15" t="str">
        <f t="shared" si="16"/>
        <v>Flurazepam</v>
      </c>
      <c r="F668" s="12">
        <f>DATE(2023,6,22)</f>
        <v>45099</v>
      </c>
      <c r="G668" s="13">
        <v>1970</v>
      </c>
      <c r="H668" s="13">
        <v>1</v>
      </c>
      <c r="I668" s="11" t="s">
        <v>100</v>
      </c>
      <c r="J668" s="15" t="s">
        <v>204</v>
      </c>
    </row>
    <row r="669" spans="1:10" s="14" customFormat="1" ht="12" customHeight="1" x14ac:dyDescent="0.25">
      <c r="A669" s="9">
        <v>667</v>
      </c>
      <c r="B669" s="14" t="s">
        <v>1671</v>
      </c>
      <c r="C669" s="14" t="s">
        <v>1672</v>
      </c>
      <c r="D669" s="9" t="s">
        <v>14</v>
      </c>
      <c r="E669" s="15" t="str">
        <f t="shared" si="16"/>
        <v>Flurbiprofen</v>
      </c>
      <c r="F669" s="12">
        <f>DATE(2025,8,5)</f>
        <v>45874</v>
      </c>
      <c r="G669" s="13">
        <v>1988</v>
      </c>
      <c r="H669" s="13">
        <v>1</v>
      </c>
      <c r="I669" s="11" t="s">
        <v>54</v>
      </c>
      <c r="J669" s="15" t="s">
        <v>55</v>
      </c>
    </row>
    <row r="670" spans="1:10" s="14" customFormat="1" ht="12" customHeight="1" x14ac:dyDescent="0.25">
      <c r="A670" s="9">
        <v>668</v>
      </c>
      <c r="B670" s="14" t="s">
        <v>1673</v>
      </c>
      <c r="C670" s="14" t="s">
        <v>1674</v>
      </c>
      <c r="D670" s="9" t="s">
        <v>166</v>
      </c>
      <c r="E670" s="15" t="str">
        <f t="shared" si="16"/>
        <v>Flutamide</v>
      </c>
      <c r="F670" s="12">
        <f>DATE(2023,3,15)</f>
        <v>45000</v>
      </c>
      <c r="G670" s="13">
        <v>1989</v>
      </c>
      <c r="H670" s="13">
        <v>1</v>
      </c>
      <c r="I670" s="11" t="s">
        <v>24</v>
      </c>
      <c r="J670" s="15" t="s">
        <v>28</v>
      </c>
    </row>
    <row r="671" spans="1:10" s="14" customFormat="1" ht="12" customHeight="1" x14ac:dyDescent="0.25">
      <c r="A671" s="9">
        <v>669</v>
      </c>
      <c r="B671" s="14" t="s">
        <v>1675</v>
      </c>
      <c r="C671" s="14" t="s">
        <v>1676</v>
      </c>
      <c r="D671" s="9" t="s">
        <v>44</v>
      </c>
      <c r="E671" s="15" t="str">
        <f t="shared" si="16"/>
        <v>Fluvastatin</v>
      </c>
      <c r="F671" s="12">
        <f>DATE(2017,8,5)</f>
        <v>42952</v>
      </c>
      <c r="G671" s="13">
        <v>1993</v>
      </c>
      <c r="H671" s="13">
        <v>1</v>
      </c>
      <c r="I671" s="11" t="s">
        <v>49</v>
      </c>
      <c r="J671" s="15" t="s">
        <v>161</v>
      </c>
    </row>
    <row r="672" spans="1:10" s="14" customFormat="1" ht="12" customHeight="1" x14ac:dyDescent="0.25">
      <c r="A672" s="9">
        <v>670</v>
      </c>
      <c r="B672" s="14" t="s">
        <v>1677</v>
      </c>
      <c r="C672" s="14" t="s">
        <v>1678</v>
      </c>
      <c r="D672" s="9" t="s">
        <v>36</v>
      </c>
      <c r="E672" s="15" t="str">
        <f t="shared" si="16"/>
        <v>Fluvoxamine</v>
      </c>
      <c r="F672" s="12">
        <f>DATE(2021,5,5)</f>
        <v>44321</v>
      </c>
      <c r="G672" s="13">
        <v>1994</v>
      </c>
      <c r="H672" s="13">
        <v>1</v>
      </c>
      <c r="I672" s="11" t="s">
        <v>100</v>
      </c>
      <c r="J672" s="15" t="s">
        <v>250</v>
      </c>
    </row>
    <row r="673" spans="1:10" s="14" customFormat="1" ht="12" customHeight="1" x14ac:dyDescent="0.25">
      <c r="A673" s="9">
        <v>671</v>
      </c>
      <c r="B673" s="14" t="s">
        <v>1679</v>
      </c>
      <c r="C673" s="14" t="s">
        <v>1680</v>
      </c>
      <c r="D673" s="9" t="s">
        <v>31</v>
      </c>
      <c r="E673" s="15" t="str">
        <f t="shared" si="16"/>
        <v>Folic acid</v>
      </c>
      <c r="F673" s="12">
        <f>DATE(2018,2,2)</f>
        <v>43133</v>
      </c>
      <c r="G673" s="13" t="s">
        <v>174</v>
      </c>
      <c r="H673" s="13">
        <v>1</v>
      </c>
      <c r="I673" s="11" t="s">
        <v>190</v>
      </c>
      <c r="J673" s="15" t="s">
        <v>198</v>
      </c>
    </row>
    <row r="674" spans="1:10" s="14" customFormat="1" ht="12" customHeight="1" x14ac:dyDescent="0.25">
      <c r="A674" s="9">
        <v>672</v>
      </c>
      <c r="B674" s="14" t="s">
        <v>1681</v>
      </c>
      <c r="C674" s="14" t="s">
        <v>1682</v>
      </c>
      <c r="D674" s="9" t="s">
        <v>31</v>
      </c>
      <c r="E674" s="15" t="s">
        <v>904</v>
      </c>
      <c r="F674" s="12">
        <f>DATE(2018,3,26)</f>
        <v>43185</v>
      </c>
      <c r="G674" s="13">
        <v>1997</v>
      </c>
      <c r="H674" s="13">
        <v>1</v>
      </c>
      <c r="I674" s="11" t="s">
        <v>473</v>
      </c>
      <c r="J674" s="15" t="s">
        <v>905</v>
      </c>
    </row>
    <row r="675" spans="1:10" s="14" customFormat="1" ht="12" customHeight="1" x14ac:dyDescent="0.25">
      <c r="A675" s="9">
        <v>673</v>
      </c>
      <c r="B675" s="14" t="s">
        <v>1683</v>
      </c>
      <c r="C675" s="14" t="s">
        <v>1684</v>
      </c>
      <c r="D675" s="9" t="s">
        <v>77</v>
      </c>
      <c r="E675" s="15"/>
      <c r="F675" s="12"/>
      <c r="G675" s="13">
        <v>1998</v>
      </c>
      <c r="H675" s="13">
        <v>0</v>
      </c>
      <c r="I675" s="11" t="s">
        <v>15</v>
      </c>
      <c r="J675" s="15" t="s">
        <v>909</v>
      </c>
    </row>
    <row r="676" spans="1:10" s="10" customFormat="1" ht="12" customHeight="1" x14ac:dyDescent="0.25">
      <c r="A676" s="9">
        <v>674</v>
      </c>
      <c r="B676" s="10" t="s">
        <v>1685</v>
      </c>
      <c r="C676" s="10" t="s">
        <v>1686</v>
      </c>
      <c r="D676" s="9" t="s">
        <v>31</v>
      </c>
      <c r="E676" s="15" t="str">
        <f>B676</f>
        <v>Fondaparinux</v>
      </c>
      <c r="F676" s="12">
        <f>DATE(2023,2,16)</f>
        <v>44973</v>
      </c>
      <c r="G676" s="9">
        <v>2001</v>
      </c>
      <c r="H676" s="9">
        <v>1</v>
      </c>
      <c r="I676" s="11" t="s">
        <v>230</v>
      </c>
      <c r="J676" s="11" t="s">
        <v>308</v>
      </c>
    </row>
    <row r="677" spans="1:10" s="14" customFormat="1" ht="12" customHeight="1" x14ac:dyDescent="0.25">
      <c r="A677" s="9">
        <v>675</v>
      </c>
      <c r="B677" s="14" t="s">
        <v>1687</v>
      </c>
      <c r="C677" s="14" t="s">
        <v>1688</v>
      </c>
      <c r="D677" s="9" t="s">
        <v>31</v>
      </c>
      <c r="E677" s="15" t="s">
        <v>127</v>
      </c>
      <c r="F677" s="12">
        <f>DATE(2017,9,10)</f>
        <v>42988</v>
      </c>
      <c r="G677" s="13">
        <v>2006</v>
      </c>
      <c r="H677" s="13">
        <v>1</v>
      </c>
      <c r="I677" s="11" t="s">
        <v>73</v>
      </c>
      <c r="J677" s="15" t="s">
        <v>74</v>
      </c>
    </row>
    <row r="678" spans="1:10" s="14" customFormat="1" ht="12" customHeight="1" x14ac:dyDescent="0.25">
      <c r="A678" s="9">
        <v>676</v>
      </c>
      <c r="B678" s="14" t="s">
        <v>276</v>
      </c>
      <c r="C678" s="14" t="s">
        <v>1689</v>
      </c>
      <c r="D678" s="9" t="s">
        <v>36</v>
      </c>
      <c r="E678" s="15" t="str">
        <f>B678</f>
        <v>Fosamprenavir</v>
      </c>
      <c r="F678" s="12">
        <f>DATE(2017,9,1)</f>
        <v>42979</v>
      </c>
      <c r="G678" s="13">
        <v>2003</v>
      </c>
      <c r="H678" s="13">
        <v>1</v>
      </c>
      <c r="I678" s="11" t="s">
        <v>15</v>
      </c>
      <c r="J678" s="15" t="s">
        <v>16</v>
      </c>
    </row>
    <row r="679" spans="1:10" s="14" customFormat="1" ht="12" customHeight="1" x14ac:dyDescent="0.25">
      <c r="A679" s="9">
        <v>677</v>
      </c>
      <c r="B679" s="14" t="s">
        <v>1690</v>
      </c>
      <c r="C679" s="14" t="s">
        <v>1691</v>
      </c>
      <c r="D679" s="9" t="s">
        <v>31</v>
      </c>
      <c r="E679" s="15" t="s">
        <v>316</v>
      </c>
      <c r="F679" s="12">
        <f>DATE(2017,7,25)</f>
        <v>42941</v>
      </c>
      <c r="G679" s="13">
        <v>2008</v>
      </c>
      <c r="H679" s="13">
        <v>1</v>
      </c>
      <c r="I679" s="11" t="s">
        <v>182</v>
      </c>
      <c r="J679" s="15" t="s">
        <v>318</v>
      </c>
    </row>
    <row r="680" spans="1:10" s="14" customFormat="1" ht="12" customHeight="1" x14ac:dyDescent="0.25">
      <c r="A680" s="9">
        <v>678</v>
      </c>
      <c r="B680" s="14" t="s">
        <v>1692</v>
      </c>
      <c r="C680" s="14" t="s">
        <v>1693</v>
      </c>
      <c r="D680" s="9" t="s">
        <v>36</v>
      </c>
      <c r="E680" s="15" t="str">
        <f>B680</f>
        <v>Foscarnet</v>
      </c>
      <c r="F680" s="12">
        <f>DATE(2018,2,2)</f>
        <v>43133</v>
      </c>
      <c r="G680" s="13">
        <v>1991</v>
      </c>
      <c r="H680" s="13">
        <v>1</v>
      </c>
      <c r="I680" s="11" t="s">
        <v>15</v>
      </c>
      <c r="J680" s="15" t="s">
        <v>909</v>
      </c>
    </row>
    <row r="681" spans="1:10" s="14" customFormat="1" ht="12" customHeight="1" x14ac:dyDescent="0.25">
      <c r="A681" s="9">
        <v>679</v>
      </c>
      <c r="B681" s="14" t="s">
        <v>1694</v>
      </c>
      <c r="C681" s="14" t="s">
        <v>1695</v>
      </c>
      <c r="D681" s="9" t="s">
        <v>36</v>
      </c>
      <c r="E681" s="15" t="str">
        <f>B681</f>
        <v>Fosfomycin</v>
      </c>
      <c r="F681" s="12">
        <f>DATE(2018,2,5)</f>
        <v>43136</v>
      </c>
      <c r="G681" s="13">
        <v>1996</v>
      </c>
      <c r="H681" s="13">
        <v>1</v>
      </c>
      <c r="I681" s="11" t="s">
        <v>15</v>
      </c>
      <c r="J681" s="15" t="s">
        <v>225</v>
      </c>
    </row>
    <row r="682" spans="1:10" s="14" customFormat="1" ht="12" customHeight="1" x14ac:dyDescent="0.25">
      <c r="A682" s="9">
        <v>680</v>
      </c>
      <c r="B682" s="14" t="s">
        <v>1696</v>
      </c>
      <c r="C682" s="14" t="s">
        <v>1697</v>
      </c>
      <c r="D682" s="9" t="s">
        <v>36</v>
      </c>
      <c r="E682" s="15" t="str">
        <f>B682</f>
        <v>Fosinopril</v>
      </c>
      <c r="F682" s="12">
        <f>DATE(2017,1,15)</f>
        <v>42750</v>
      </c>
      <c r="G682" s="13">
        <v>1991</v>
      </c>
      <c r="H682" s="13">
        <v>1</v>
      </c>
      <c r="I682" s="11" t="s">
        <v>49</v>
      </c>
      <c r="J682" s="15" t="s">
        <v>50</v>
      </c>
    </row>
    <row r="683" spans="1:10" s="14" customFormat="1" ht="12" customHeight="1" x14ac:dyDescent="0.25">
      <c r="A683" s="9">
        <v>681</v>
      </c>
      <c r="B683" s="14" t="s">
        <v>1698</v>
      </c>
      <c r="C683" s="14" t="s">
        <v>1699</v>
      </c>
      <c r="D683" s="9" t="s">
        <v>31</v>
      </c>
      <c r="E683" s="15" t="s">
        <v>1698</v>
      </c>
      <c r="F683" s="12">
        <f>DATE(2024,2,28)</f>
        <v>45350</v>
      </c>
      <c r="G683" s="16">
        <v>2018</v>
      </c>
      <c r="H683" s="13">
        <v>1</v>
      </c>
      <c r="I683" s="11" t="s">
        <v>182</v>
      </c>
      <c r="J683" s="15" t="s">
        <v>1700</v>
      </c>
    </row>
    <row r="684" spans="1:10" s="14" customFormat="1" ht="12" customHeight="1" x14ac:dyDescent="0.25">
      <c r="A684" s="9">
        <v>682</v>
      </c>
      <c r="B684" s="14" t="s">
        <v>1701</v>
      </c>
      <c r="C684" s="14" t="s">
        <v>1702</v>
      </c>
      <c r="D684" s="9" t="s">
        <v>166</v>
      </c>
      <c r="E684" s="15" t="str">
        <f>B684</f>
        <v>Fosphenytoin</v>
      </c>
      <c r="F684" s="12">
        <f>DATE(2020,11,8)</f>
        <v>44143</v>
      </c>
      <c r="G684" s="13">
        <v>1996</v>
      </c>
      <c r="H684" s="13">
        <v>1</v>
      </c>
      <c r="I684" s="11" t="s">
        <v>100</v>
      </c>
      <c r="J684" s="15" t="s">
        <v>630</v>
      </c>
    </row>
    <row r="685" spans="1:10" s="14" customFormat="1" ht="12" customHeight="1" x14ac:dyDescent="0.25">
      <c r="A685" s="9">
        <v>683</v>
      </c>
      <c r="B685" s="14" t="s">
        <v>1703</v>
      </c>
      <c r="C685" s="14" t="s">
        <v>1704</v>
      </c>
      <c r="D685" s="9" t="s">
        <v>36</v>
      </c>
      <c r="E685" s="15" t="s">
        <v>1705</v>
      </c>
      <c r="F685" s="12">
        <f>DATE(2018,2,2)</f>
        <v>43133</v>
      </c>
      <c r="G685" s="13">
        <v>2008</v>
      </c>
      <c r="H685" s="13">
        <v>1</v>
      </c>
      <c r="I685" s="11" t="s">
        <v>100</v>
      </c>
      <c r="J685" s="15" t="s">
        <v>1162</v>
      </c>
    </row>
    <row r="686" spans="1:10" s="14" customFormat="1" ht="12" customHeight="1" x14ac:dyDescent="0.25">
      <c r="A686" s="9">
        <v>684</v>
      </c>
      <c r="B686" s="14" t="s">
        <v>1706</v>
      </c>
      <c r="C686" s="14" t="s">
        <v>1707</v>
      </c>
      <c r="D686" s="9" t="s">
        <v>23</v>
      </c>
      <c r="E686" s="15" t="str">
        <f>B686</f>
        <v>Fostamatinib</v>
      </c>
      <c r="F686" s="12">
        <f>DATE(2018,10,20)</f>
        <v>43393</v>
      </c>
      <c r="G686" s="13">
        <v>2018</v>
      </c>
      <c r="H686" s="13">
        <v>1</v>
      </c>
      <c r="I686" s="11" t="s">
        <v>230</v>
      </c>
      <c r="J686" s="15" t="s">
        <v>421</v>
      </c>
    </row>
    <row r="687" spans="1:10" s="14" customFormat="1" ht="12" customHeight="1" x14ac:dyDescent="0.25">
      <c r="A687" s="9">
        <v>685</v>
      </c>
      <c r="B687" s="14" t="s">
        <v>1708</v>
      </c>
      <c r="C687" s="14" t="s">
        <v>1709</v>
      </c>
      <c r="D687" s="9" t="s">
        <v>23</v>
      </c>
      <c r="E687" s="15" t="s">
        <v>1708</v>
      </c>
      <c r="F687" s="12">
        <f>DATE(2023,6,20)</f>
        <v>45097</v>
      </c>
      <c r="G687" s="16">
        <v>2020</v>
      </c>
      <c r="H687" s="13">
        <v>1</v>
      </c>
      <c r="I687" s="11" t="s">
        <v>15</v>
      </c>
      <c r="J687" s="15" t="s">
        <v>1710</v>
      </c>
    </row>
    <row r="688" spans="1:10" s="14" customFormat="1" ht="12" customHeight="1" x14ac:dyDescent="0.3">
      <c r="A688" s="9">
        <v>686</v>
      </c>
      <c r="B688" s="14" t="s">
        <v>1711</v>
      </c>
      <c r="C688" s="23" t="s">
        <v>1712</v>
      </c>
      <c r="D688" s="9" t="s">
        <v>31</v>
      </c>
      <c r="E688" s="15" t="str">
        <f>B688</f>
        <v>Fremanezumab</v>
      </c>
      <c r="F688" s="12">
        <f>DATE(2019,1,15)</f>
        <v>43480</v>
      </c>
      <c r="G688" s="13">
        <v>2018</v>
      </c>
      <c r="H688" s="13">
        <v>1</v>
      </c>
      <c r="I688" s="11" t="s">
        <v>100</v>
      </c>
      <c r="J688" s="15" t="s">
        <v>171</v>
      </c>
    </row>
    <row r="689" spans="1:35" s="14" customFormat="1" ht="12" customHeight="1" x14ac:dyDescent="0.25">
      <c r="A689" s="9">
        <v>687</v>
      </c>
      <c r="B689" s="14" t="s">
        <v>1713</v>
      </c>
      <c r="C689" s="14" t="s">
        <v>1714</v>
      </c>
      <c r="D689" s="9" t="s">
        <v>31</v>
      </c>
      <c r="E689" s="15" t="s">
        <v>170</v>
      </c>
      <c r="F689" s="12">
        <f>DATE(2018,2,10)</f>
        <v>43141</v>
      </c>
      <c r="G689" s="13">
        <v>2001</v>
      </c>
      <c r="H689" s="13">
        <v>1</v>
      </c>
      <c r="I689" s="11" t="s">
        <v>100</v>
      </c>
      <c r="J689" s="15" t="s">
        <v>171</v>
      </c>
    </row>
    <row r="690" spans="1:35" s="14" customFormat="1" ht="12" customHeight="1" x14ac:dyDescent="0.25">
      <c r="A690" s="9">
        <v>688</v>
      </c>
      <c r="B690" s="14" t="s">
        <v>1715</v>
      </c>
      <c r="C690" s="14" t="s">
        <v>1716</v>
      </c>
      <c r="D690" s="9" t="s">
        <v>23</v>
      </c>
      <c r="E690" s="14" t="s">
        <v>1715</v>
      </c>
      <c r="F690" s="12">
        <f>DATE(2025,3,28)</f>
        <v>45744</v>
      </c>
      <c r="G690" s="13">
        <v>2023</v>
      </c>
      <c r="H690" s="13">
        <v>1</v>
      </c>
      <c r="I690" s="11" t="s">
        <v>24</v>
      </c>
      <c r="J690" s="15" t="s">
        <v>1717</v>
      </c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s="14" customFormat="1" ht="12" customHeight="1" x14ac:dyDescent="0.25">
      <c r="A691" s="9">
        <v>689</v>
      </c>
      <c r="B691" s="14" t="s">
        <v>1718</v>
      </c>
      <c r="C691" s="14" t="s">
        <v>1719</v>
      </c>
      <c r="D691" s="9" t="s">
        <v>23</v>
      </c>
      <c r="E691" s="15" t="str">
        <f>B691</f>
        <v>Fulvestrant</v>
      </c>
      <c r="F691" s="12">
        <f>DATE(2018,2,2)</f>
        <v>43133</v>
      </c>
      <c r="G691" s="13">
        <v>2002</v>
      </c>
      <c r="H691" s="13">
        <v>1</v>
      </c>
      <c r="I691" s="11" t="s">
        <v>24</v>
      </c>
      <c r="J691" s="15" t="s">
        <v>284</v>
      </c>
    </row>
    <row r="692" spans="1:35" s="14" customFormat="1" ht="12" customHeight="1" x14ac:dyDescent="0.25">
      <c r="A692" s="9">
        <v>690</v>
      </c>
      <c r="B692" s="14" t="s">
        <v>1720</v>
      </c>
      <c r="C692" s="14" t="s">
        <v>1721</v>
      </c>
      <c r="D692" s="9" t="s">
        <v>31</v>
      </c>
      <c r="E692" s="15" t="s">
        <v>649</v>
      </c>
      <c r="F692" s="12">
        <f>DATE(2021,10,13)</f>
        <v>44482</v>
      </c>
      <c r="G692" s="13">
        <v>1966</v>
      </c>
      <c r="H692" s="13">
        <v>1</v>
      </c>
      <c r="I692" s="11" t="s">
        <v>49</v>
      </c>
      <c r="J692" s="15" t="s">
        <v>59</v>
      </c>
    </row>
    <row r="693" spans="1:35" s="14" customFormat="1" ht="12" customHeight="1" x14ac:dyDescent="0.25">
      <c r="A693" s="9">
        <v>691</v>
      </c>
      <c r="B693" s="14" t="s">
        <v>1722</v>
      </c>
      <c r="C693" s="14" t="s">
        <v>1723</v>
      </c>
      <c r="D693" s="9" t="s">
        <v>23</v>
      </c>
      <c r="E693" s="15" t="s">
        <v>1722</v>
      </c>
      <c r="F693" s="12">
        <f>DATE(2022,12,29)</f>
        <v>44924</v>
      </c>
      <c r="G693" s="13">
        <v>2022</v>
      </c>
      <c r="H693" s="13">
        <v>1</v>
      </c>
      <c r="I693" s="11" t="s">
        <v>24</v>
      </c>
      <c r="J693" s="15" t="s">
        <v>1724</v>
      </c>
    </row>
    <row r="694" spans="1:35" s="14" customFormat="1" ht="12" customHeight="1" x14ac:dyDescent="0.25">
      <c r="A694" s="9">
        <v>692</v>
      </c>
      <c r="B694" s="14" t="s">
        <v>1725</v>
      </c>
      <c r="C694" s="14" t="s">
        <v>1726</v>
      </c>
      <c r="D694" s="9" t="s">
        <v>14</v>
      </c>
      <c r="E694" s="15" t="str">
        <f>B694</f>
        <v>Gabapentin</v>
      </c>
      <c r="F694" s="12">
        <f>DATE(2020,7,30)</f>
        <v>44042</v>
      </c>
      <c r="G694" s="13">
        <v>1993</v>
      </c>
      <c r="H694" s="13">
        <v>1</v>
      </c>
      <c r="I694" s="11" t="s">
        <v>100</v>
      </c>
      <c r="J694" s="15" t="s">
        <v>630</v>
      </c>
    </row>
    <row r="695" spans="1:35" s="14" customFormat="1" ht="12" customHeight="1" x14ac:dyDescent="0.25">
      <c r="A695" s="9">
        <v>693</v>
      </c>
      <c r="B695" s="14" t="s">
        <v>1727</v>
      </c>
      <c r="C695" s="14" t="s">
        <v>1728</v>
      </c>
      <c r="D695" s="9" t="s">
        <v>23</v>
      </c>
      <c r="E695" s="15" t="str">
        <f>B695</f>
        <v>Gabapentin Enacarbil</v>
      </c>
      <c r="F695" s="12">
        <f>DATE(2018,2,25)</f>
        <v>43156</v>
      </c>
      <c r="G695" s="13">
        <v>2011</v>
      </c>
      <c r="H695" s="13">
        <v>1</v>
      </c>
      <c r="I695" s="11" t="s">
        <v>100</v>
      </c>
      <c r="J695" s="15" t="s">
        <v>630</v>
      </c>
    </row>
    <row r="696" spans="1:35" s="14" customFormat="1" ht="12" customHeight="1" x14ac:dyDescent="0.25">
      <c r="A696" s="9">
        <v>694</v>
      </c>
      <c r="B696" s="14" t="s">
        <v>1729</v>
      </c>
      <c r="C696" s="14" t="s">
        <v>1730</v>
      </c>
      <c r="D696" s="9" t="s">
        <v>31</v>
      </c>
      <c r="E696" s="15" t="str">
        <f>B696</f>
        <v>Galantamine</v>
      </c>
      <c r="F696" s="12">
        <f>DATE(2018,2,25)</f>
        <v>43156</v>
      </c>
      <c r="G696" s="13">
        <v>2001</v>
      </c>
      <c r="H696" s="13">
        <v>1</v>
      </c>
      <c r="I696" s="11" t="s">
        <v>100</v>
      </c>
      <c r="J696" s="15" t="s">
        <v>101</v>
      </c>
    </row>
    <row r="697" spans="1:35" s="14" customFormat="1" ht="12" customHeight="1" x14ac:dyDescent="0.3">
      <c r="A697" s="9">
        <v>695</v>
      </c>
      <c r="B697" s="14" t="s">
        <v>1731</v>
      </c>
      <c r="C697" s="23" t="s">
        <v>1732</v>
      </c>
      <c r="D697" s="9" t="s">
        <v>31</v>
      </c>
      <c r="E697" s="15" t="str">
        <f>B697</f>
        <v>Galcanezumab</v>
      </c>
      <c r="F697" s="12">
        <f>DATE(2019,1,19)</f>
        <v>43484</v>
      </c>
      <c r="G697" s="13">
        <v>2018</v>
      </c>
      <c r="H697" s="13">
        <v>1</v>
      </c>
      <c r="I697" s="11" t="s">
        <v>100</v>
      </c>
      <c r="J697" s="15" t="s">
        <v>171</v>
      </c>
    </row>
    <row r="698" spans="1:35" s="14" customFormat="1" ht="12" customHeight="1" x14ac:dyDescent="0.25">
      <c r="A698" s="9">
        <v>696</v>
      </c>
      <c r="B698" s="15" t="s">
        <v>1733</v>
      </c>
      <c r="C698" s="15" t="s">
        <v>1734</v>
      </c>
      <c r="D698" s="9" t="s">
        <v>31</v>
      </c>
      <c r="E698" s="15" t="s">
        <v>118</v>
      </c>
      <c r="F698" s="12">
        <f>DATE(2016,3,12)</f>
        <v>42441</v>
      </c>
      <c r="G698" s="13">
        <v>2005</v>
      </c>
      <c r="H698" s="13">
        <v>1</v>
      </c>
      <c r="I698" s="11" t="s">
        <v>104</v>
      </c>
      <c r="J698" s="15" t="s">
        <v>1735</v>
      </c>
    </row>
    <row r="699" spans="1:35" s="14" customFormat="1" ht="12" customHeight="1" x14ac:dyDescent="0.25">
      <c r="A699" s="9">
        <v>697</v>
      </c>
      <c r="B699" s="14" t="s">
        <v>1736</v>
      </c>
      <c r="C699" s="14" t="s">
        <v>1737</v>
      </c>
      <c r="D699" s="9" t="s">
        <v>77</v>
      </c>
      <c r="E699" s="14" t="s">
        <v>1736</v>
      </c>
      <c r="F699" s="9"/>
      <c r="G699" s="13">
        <v>2022</v>
      </c>
      <c r="H699" s="13">
        <v>0</v>
      </c>
      <c r="I699" s="11" t="s">
        <v>100</v>
      </c>
      <c r="J699" s="15" t="s">
        <v>1738</v>
      </c>
      <c r="K699" s="13"/>
      <c r="L699" s="13"/>
    </row>
    <row r="700" spans="1:35" s="14" customFormat="1" ht="12" customHeight="1" x14ac:dyDescent="0.25">
      <c r="A700" s="9">
        <v>698</v>
      </c>
      <c r="B700" s="14" t="s">
        <v>1739</v>
      </c>
      <c r="C700" s="14" t="s">
        <v>1740</v>
      </c>
      <c r="D700" s="9" t="s">
        <v>31</v>
      </c>
      <c r="E700" s="15" t="str">
        <f>B700</f>
        <v>Ganciclovir</v>
      </c>
      <c r="F700" s="12">
        <f>DATE(2018,3,5)</f>
        <v>43164</v>
      </c>
      <c r="G700" s="13">
        <v>1994</v>
      </c>
      <c r="H700" s="13">
        <v>1</v>
      </c>
      <c r="I700" s="11" t="s">
        <v>15</v>
      </c>
      <c r="J700" s="15" t="s">
        <v>909</v>
      </c>
    </row>
    <row r="701" spans="1:35" s="14" customFormat="1" ht="12" customHeight="1" x14ac:dyDescent="0.3">
      <c r="A701" s="9">
        <v>699</v>
      </c>
      <c r="B701" s="14" t="s">
        <v>1741</v>
      </c>
      <c r="C701" s="14" t="s">
        <v>1742</v>
      </c>
      <c r="D701" s="9" t="s">
        <v>77</v>
      </c>
      <c r="E701" s="14" t="s">
        <v>1741</v>
      </c>
      <c r="F701" s="9"/>
      <c r="G701" s="13">
        <v>2025</v>
      </c>
      <c r="H701" s="16">
        <v>0</v>
      </c>
      <c r="I701" s="10" t="s">
        <v>104</v>
      </c>
      <c r="J701" s="14" t="s">
        <v>1743</v>
      </c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</row>
    <row r="702" spans="1:35" s="14" customFormat="1" ht="12" customHeight="1" x14ac:dyDescent="0.3">
      <c r="A702" s="9">
        <v>700</v>
      </c>
      <c r="B702" s="14" t="s">
        <v>1744</v>
      </c>
      <c r="C702" s="23" t="s">
        <v>188</v>
      </c>
      <c r="D702" s="9" t="s">
        <v>44</v>
      </c>
      <c r="E702" s="15" t="str">
        <f t="shared" ref="E702:E708" si="17">B702</f>
        <v>Garcinia</v>
      </c>
      <c r="F702" s="12">
        <f>DATE(2019,2,21)</f>
        <v>43517</v>
      </c>
      <c r="G702" s="13" t="s">
        <v>174</v>
      </c>
      <c r="H702" s="13">
        <v>1</v>
      </c>
      <c r="I702" s="11" t="s">
        <v>175</v>
      </c>
      <c r="J702" s="15" t="s">
        <v>1462</v>
      </c>
    </row>
    <row r="703" spans="1:35" s="14" customFormat="1" ht="12" customHeight="1" x14ac:dyDescent="0.25">
      <c r="A703" s="9">
        <v>701</v>
      </c>
      <c r="B703" s="14" t="s">
        <v>1745</v>
      </c>
      <c r="C703" s="14" t="s">
        <v>1746</v>
      </c>
      <c r="D703" s="9" t="s">
        <v>44</v>
      </c>
      <c r="E703" s="15" t="str">
        <f t="shared" si="17"/>
        <v>Gefitinib</v>
      </c>
      <c r="F703" s="12">
        <f>DATE(2018,3,5)</f>
        <v>43164</v>
      </c>
      <c r="G703" s="13">
        <v>2003</v>
      </c>
      <c r="H703" s="13">
        <v>1</v>
      </c>
      <c r="I703" s="11" t="s">
        <v>24</v>
      </c>
      <c r="J703" s="15" t="s">
        <v>207</v>
      </c>
    </row>
    <row r="704" spans="1:35" s="14" customFormat="1" ht="12" customHeight="1" x14ac:dyDescent="0.25">
      <c r="A704" s="9">
        <v>702</v>
      </c>
      <c r="B704" s="14" t="s">
        <v>1747</v>
      </c>
      <c r="C704" s="14" t="s">
        <v>1748</v>
      </c>
      <c r="D704" s="9" t="s">
        <v>14</v>
      </c>
      <c r="E704" s="15" t="str">
        <f t="shared" si="17"/>
        <v>Gemcitabine</v>
      </c>
      <c r="F704" s="12">
        <f>DATE(2018,3,9)</f>
        <v>43168</v>
      </c>
      <c r="G704" s="13">
        <v>1996</v>
      </c>
      <c r="H704" s="13">
        <v>1</v>
      </c>
      <c r="I704" s="11" t="s">
        <v>24</v>
      </c>
      <c r="J704" s="15" t="s">
        <v>207</v>
      </c>
    </row>
    <row r="705" spans="1:35" s="14" customFormat="1" ht="12" customHeight="1" x14ac:dyDescent="0.25">
      <c r="A705" s="9">
        <v>703</v>
      </c>
      <c r="B705" s="14" t="s">
        <v>1749</v>
      </c>
      <c r="C705" s="14" t="s">
        <v>1750</v>
      </c>
      <c r="D705" s="9" t="s">
        <v>14</v>
      </c>
      <c r="E705" s="15" t="str">
        <f t="shared" si="17"/>
        <v>Gemfibrozil</v>
      </c>
      <c r="F705" s="12">
        <f>DATE(2017,1,24)</f>
        <v>42759</v>
      </c>
      <c r="G705" s="13">
        <v>1981</v>
      </c>
      <c r="H705" s="13">
        <v>1</v>
      </c>
      <c r="I705" s="11" t="s">
        <v>49</v>
      </c>
      <c r="J705" s="15" t="s">
        <v>161</v>
      </c>
    </row>
    <row r="706" spans="1:35" s="14" customFormat="1" ht="12" customHeight="1" x14ac:dyDescent="0.25">
      <c r="A706" s="9">
        <v>704</v>
      </c>
      <c r="B706" s="14" t="s">
        <v>1751</v>
      </c>
      <c r="C706" s="14" t="s">
        <v>1752</v>
      </c>
      <c r="D706" s="9" t="s">
        <v>36</v>
      </c>
      <c r="E706" s="15" t="str">
        <f t="shared" si="17"/>
        <v>Gemifloxacin</v>
      </c>
      <c r="F706" s="20">
        <f>DATE(2020,3,10)</f>
        <v>43900</v>
      </c>
      <c r="G706" s="13">
        <v>2003</v>
      </c>
      <c r="H706" s="13">
        <v>1</v>
      </c>
      <c r="I706" s="11" t="s">
        <v>15</v>
      </c>
      <c r="J706" s="15" t="s">
        <v>225</v>
      </c>
    </row>
    <row r="707" spans="1:35" s="14" customFormat="1" ht="12" customHeight="1" x14ac:dyDescent="0.25">
      <c r="A707" s="9">
        <v>705</v>
      </c>
      <c r="B707" s="14" t="s">
        <v>1753</v>
      </c>
      <c r="C707" s="14" t="s">
        <v>1754</v>
      </c>
      <c r="D707" s="9" t="s">
        <v>166</v>
      </c>
      <c r="E707" s="15" t="str">
        <f t="shared" si="17"/>
        <v>Gemtuzumab ozogamicin</v>
      </c>
      <c r="F707" s="12">
        <f>DATE(2023,11,28)</f>
        <v>45258</v>
      </c>
      <c r="G707" s="13">
        <v>2000</v>
      </c>
      <c r="H707" s="13">
        <v>1</v>
      </c>
      <c r="I707" s="11" t="s">
        <v>24</v>
      </c>
      <c r="J707" s="15" t="s">
        <v>596</v>
      </c>
    </row>
    <row r="708" spans="1:35" s="14" customFormat="1" ht="12" customHeight="1" x14ac:dyDescent="0.25">
      <c r="A708" s="9">
        <v>706</v>
      </c>
      <c r="B708" s="14" t="s">
        <v>1755</v>
      </c>
      <c r="C708" s="14" t="s">
        <v>1756</v>
      </c>
      <c r="D708" s="9" t="s">
        <v>31</v>
      </c>
      <c r="E708" s="15" t="str">
        <f t="shared" si="17"/>
        <v xml:space="preserve">Gentamicin </v>
      </c>
      <c r="F708" s="12">
        <f>DATE(2018,3,9)</f>
        <v>43168</v>
      </c>
      <c r="G708" s="13">
        <v>1970</v>
      </c>
      <c r="H708" s="13">
        <v>1</v>
      </c>
      <c r="I708" s="11" t="s">
        <v>15</v>
      </c>
      <c r="J708" s="15" t="s">
        <v>225</v>
      </c>
    </row>
    <row r="709" spans="1:35" s="14" customFormat="1" ht="12" customHeight="1" x14ac:dyDescent="0.25">
      <c r="A709" s="9">
        <v>707</v>
      </c>
      <c r="B709" s="14" t="s">
        <v>1757</v>
      </c>
      <c r="C709" s="14" t="s">
        <v>1758</v>
      </c>
      <c r="D709" s="9" t="s">
        <v>77</v>
      </c>
      <c r="E709" s="14" t="s">
        <v>1757</v>
      </c>
      <c r="F709" s="12"/>
      <c r="G709" s="13">
        <v>2023</v>
      </c>
      <c r="H709" s="13">
        <v>0</v>
      </c>
      <c r="I709" s="11" t="s">
        <v>100</v>
      </c>
      <c r="J709" s="15" t="s">
        <v>1759</v>
      </c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s="14" customFormat="1" ht="12" customHeight="1" x14ac:dyDescent="0.3">
      <c r="A710" s="9">
        <v>708</v>
      </c>
      <c r="B710" s="14" t="s">
        <v>1760</v>
      </c>
      <c r="C710" s="14" t="s">
        <v>1761</v>
      </c>
      <c r="D710" s="9" t="s">
        <v>77</v>
      </c>
      <c r="E710" s="14" t="s">
        <v>1760</v>
      </c>
      <c r="F710" s="9"/>
      <c r="G710" s="13">
        <v>2025</v>
      </c>
      <c r="H710" s="16">
        <v>0</v>
      </c>
      <c r="I710" s="10" t="s">
        <v>15</v>
      </c>
      <c r="J710" s="14" t="s">
        <v>1762</v>
      </c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</row>
    <row r="711" spans="1:35" s="14" customFormat="1" ht="12" customHeight="1" x14ac:dyDescent="0.25">
      <c r="A711" s="9">
        <v>709</v>
      </c>
      <c r="B711" s="14" t="s">
        <v>1763</v>
      </c>
      <c r="C711" s="14" t="s">
        <v>188</v>
      </c>
      <c r="D711" s="9" t="s">
        <v>166</v>
      </c>
      <c r="E711" s="15" t="str">
        <f>B711</f>
        <v>Germander</v>
      </c>
      <c r="F711" s="12">
        <f>DATE(2018,3,12)</f>
        <v>43171</v>
      </c>
      <c r="G711" s="13" t="s">
        <v>174</v>
      </c>
      <c r="H711" s="13">
        <v>1</v>
      </c>
      <c r="I711" s="11" t="s">
        <v>175</v>
      </c>
      <c r="J711" s="15" t="s">
        <v>1462</v>
      </c>
    </row>
    <row r="712" spans="1:35" s="14" customFormat="1" ht="12" customHeight="1" x14ac:dyDescent="0.25">
      <c r="A712" s="9">
        <v>710</v>
      </c>
      <c r="B712" s="14" t="s">
        <v>1764</v>
      </c>
      <c r="C712" s="14" t="s">
        <v>1765</v>
      </c>
      <c r="D712" s="9" t="s">
        <v>77</v>
      </c>
      <c r="E712" s="15"/>
      <c r="F712" s="12"/>
      <c r="G712" s="13">
        <v>2017</v>
      </c>
      <c r="H712" s="13">
        <v>0</v>
      </c>
      <c r="I712" s="11" t="s">
        <v>390</v>
      </c>
      <c r="J712" s="15" t="s">
        <v>1766</v>
      </c>
    </row>
    <row r="713" spans="1:35" s="14" customFormat="1" ht="12" customHeight="1" x14ac:dyDescent="0.25">
      <c r="A713" s="9">
        <v>711</v>
      </c>
      <c r="B713" s="14" t="s">
        <v>1767</v>
      </c>
      <c r="C713" s="14" t="s">
        <v>1768</v>
      </c>
      <c r="D713" s="9" t="s">
        <v>23</v>
      </c>
      <c r="E713" s="15" t="str">
        <f>B713</f>
        <v>Gilteritinib</v>
      </c>
      <c r="F713" s="12">
        <f>DATE(2019,1,24)</f>
        <v>43489</v>
      </c>
      <c r="G713" s="13">
        <v>2018</v>
      </c>
      <c r="H713" s="13">
        <v>1</v>
      </c>
      <c r="I713" s="11" t="s">
        <v>24</v>
      </c>
      <c r="J713" s="15" t="s">
        <v>1769</v>
      </c>
    </row>
    <row r="714" spans="1:35" s="14" customFormat="1" ht="12" customHeight="1" x14ac:dyDescent="0.3">
      <c r="A714" s="9">
        <v>712</v>
      </c>
      <c r="B714" s="15" t="s">
        <v>1770</v>
      </c>
      <c r="C714" s="19" t="s">
        <v>1771</v>
      </c>
      <c r="D714" s="9" t="s">
        <v>31</v>
      </c>
      <c r="E714" s="15" t="s">
        <v>1770</v>
      </c>
      <c r="F714" s="12">
        <f>DATE(2024,2,5)</f>
        <v>45327</v>
      </c>
      <c r="G714" s="13" t="s">
        <v>174</v>
      </c>
      <c r="H714" s="13">
        <v>1</v>
      </c>
      <c r="I714" s="11" t="s">
        <v>175</v>
      </c>
      <c r="J714" s="15" t="s">
        <v>1772</v>
      </c>
      <c r="K714" s="13"/>
    </row>
    <row r="715" spans="1:35" s="14" customFormat="1" ht="12" customHeight="1" x14ac:dyDescent="0.25">
      <c r="A715" s="9">
        <v>713</v>
      </c>
      <c r="B715" s="14" t="s">
        <v>1773</v>
      </c>
      <c r="C715" s="14" t="s">
        <v>188</v>
      </c>
      <c r="D715" s="9" t="s">
        <v>31</v>
      </c>
      <c r="E715" s="15" t="str">
        <f>B715</f>
        <v>Gingko</v>
      </c>
      <c r="F715" s="12">
        <f>DATE(2018,3,12)</f>
        <v>43171</v>
      </c>
      <c r="G715" s="13" t="s">
        <v>174</v>
      </c>
      <c r="H715" s="13">
        <v>1</v>
      </c>
      <c r="I715" s="11" t="s">
        <v>175</v>
      </c>
      <c r="J715" s="15" t="s">
        <v>354</v>
      </c>
    </row>
    <row r="716" spans="1:35" s="14" customFormat="1" ht="12" customHeight="1" x14ac:dyDescent="0.25">
      <c r="A716" s="9">
        <v>714</v>
      </c>
      <c r="B716" s="14" t="s">
        <v>1774</v>
      </c>
      <c r="C716" s="14" t="s">
        <v>1775</v>
      </c>
      <c r="D716" s="9" t="s">
        <v>31</v>
      </c>
      <c r="E716" s="15" t="str">
        <f>B716</f>
        <v xml:space="preserve">Ginseng </v>
      </c>
      <c r="F716" s="12">
        <f>DATE(2018,3,12)</f>
        <v>43171</v>
      </c>
      <c r="G716" s="13" t="s">
        <v>174</v>
      </c>
      <c r="H716" s="13">
        <v>1</v>
      </c>
      <c r="I716" s="11" t="s">
        <v>175</v>
      </c>
      <c r="J716" s="15" t="s">
        <v>354</v>
      </c>
    </row>
    <row r="717" spans="1:35" s="10" customFormat="1" ht="12" customHeight="1" x14ac:dyDescent="0.25">
      <c r="A717" s="9">
        <v>715</v>
      </c>
      <c r="B717" s="10" t="s">
        <v>1776</v>
      </c>
      <c r="C717" s="10" t="s">
        <v>1777</v>
      </c>
      <c r="D717" s="9" t="s">
        <v>77</v>
      </c>
      <c r="E717" s="14" t="s">
        <v>1776</v>
      </c>
      <c r="F717" s="12"/>
      <c r="G717" s="9">
        <v>2024</v>
      </c>
      <c r="H717" s="9">
        <v>0</v>
      </c>
      <c r="I717" s="10" t="s">
        <v>324</v>
      </c>
      <c r="J717" s="14" t="s">
        <v>1778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s="10" customFormat="1" ht="12" customHeight="1" x14ac:dyDescent="0.25">
      <c r="A718" s="9">
        <v>716</v>
      </c>
      <c r="B718" s="10" t="s">
        <v>1779</v>
      </c>
      <c r="C718" s="10" t="s">
        <v>1780</v>
      </c>
      <c r="D718" s="9" t="s">
        <v>23</v>
      </c>
      <c r="E718" s="15" t="str">
        <f>B718</f>
        <v>Givosiran</v>
      </c>
      <c r="F718" s="12">
        <f>DATE(2023,1,5)</f>
        <v>44931</v>
      </c>
      <c r="G718" s="9">
        <v>2019</v>
      </c>
      <c r="H718" s="9">
        <v>1</v>
      </c>
      <c r="I718" s="15" t="s">
        <v>104</v>
      </c>
      <c r="J718" s="15" t="s">
        <v>1781</v>
      </c>
    </row>
    <row r="719" spans="1:35" s="14" customFormat="1" ht="12" customHeight="1" x14ac:dyDescent="0.25">
      <c r="A719" s="9">
        <v>717</v>
      </c>
      <c r="B719" s="14" t="s">
        <v>1782</v>
      </c>
      <c r="C719" s="14" t="s">
        <v>1783</v>
      </c>
      <c r="D719" s="9" t="s">
        <v>23</v>
      </c>
      <c r="E719" s="15" t="str">
        <f>B719</f>
        <v>Glasdegib</v>
      </c>
      <c r="F719" s="12">
        <f>DATE(2019,1,24)</f>
        <v>43489</v>
      </c>
      <c r="G719" s="13">
        <v>2018</v>
      </c>
      <c r="H719" s="13">
        <v>1</v>
      </c>
      <c r="I719" s="11" t="s">
        <v>24</v>
      </c>
      <c r="J719" s="15" t="s">
        <v>1769</v>
      </c>
    </row>
    <row r="720" spans="1:35" s="14" customFormat="1" ht="12" customHeight="1" x14ac:dyDescent="0.25">
      <c r="A720" s="9">
        <v>718</v>
      </c>
      <c r="B720" s="14" t="s">
        <v>1784</v>
      </c>
      <c r="C720" s="14" t="s">
        <v>1785</v>
      </c>
      <c r="D720" s="9" t="s">
        <v>44</v>
      </c>
      <c r="E720" s="15" t="str">
        <f>B720</f>
        <v>Glatiramer</v>
      </c>
      <c r="F720" s="12">
        <f>DATE(2025,9,20)</f>
        <v>45920</v>
      </c>
      <c r="G720" s="13">
        <v>1996</v>
      </c>
      <c r="H720" s="13">
        <v>1</v>
      </c>
      <c r="I720" s="11" t="s">
        <v>100</v>
      </c>
      <c r="J720" s="15" t="s">
        <v>1076</v>
      </c>
    </row>
    <row r="721" spans="1:35" s="14" customFormat="1" ht="12" customHeight="1" x14ac:dyDescent="0.25">
      <c r="A721" s="9">
        <v>719</v>
      </c>
      <c r="B721" s="14" t="s">
        <v>1786</v>
      </c>
      <c r="C721" s="14" t="s">
        <v>1787</v>
      </c>
      <c r="D721" s="9" t="s">
        <v>14</v>
      </c>
      <c r="E721" s="15" t="s">
        <v>1787</v>
      </c>
      <c r="F721" s="12">
        <f>DATE(2022,1,25)</f>
        <v>44586</v>
      </c>
      <c r="G721" s="13">
        <v>2017</v>
      </c>
      <c r="H721" s="13">
        <v>1</v>
      </c>
      <c r="I721" s="11" t="s">
        <v>15</v>
      </c>
      <c r="J721" s="15" t="s">
        <v>366</v>
      </c>
    </row>
    <row r="722" spans="1:35" s="14" customFormat="1" ht="12" customHeight="1" x14ac:dyDescent="0.25">
      <c r="A722" s="9">
        <v>720</v>
      </c>
      <c r="B722" s="14" t="s">
        <v>1788</v>
      </c>
      <c r="C722" s="14" t="s">
        <v>1789</v>
      </c>
      <c r="D722" s="9" t="s">
        <v>36</v>
      </c>
      <c r="E722" s="15" t="str">
        <f>$E$674</f>
        <v>Gonadotropins</v>
      </c>
      <c r="F722" s="12">
        <f>DATE(2018,3,15)</f>
        <v>43174</v>
      </c>
      <c r="G722" s="13" t="s">
        <v>512</v>
      </c>
      <c r="H722" s="13">
        <v>1</v>
      </c>
      <c r="I722" s="11" t="s">
        <v>45</v>
      </c>
      <c r="J722" s="15" t="s">
        <v>46</v>
      </c>
    </row>
    <row r="723" spans="1:35" s="14" customFormat="1" ht="12" customHeight="1" x14ac:dyDescent="0.25">
      <c r="A723" s="9">
        <v>721</v>
      </c>
      <c r="B723" s="14" t="s">
        <v>1790</v>
      </c>
      <c r="C723" s="14" t="s">
        <v>1791</v>
      </c>
      <c r="D723" s="9" t="s">
        <v>14</v>
      </c>
      <c r="E723" s="15" t="s">
        <v>1792</v>
      </c>
      <c r="F723" s="12">
        <f>DATE(2018,3,15)</f>
        <v>43174</v>
      </c>
      <c r="G723" s="13">
        <v>1995</v>
      </c>
      <c r="H723" s="13">
        <v>1</v>
      </c>
      <c r="I723" s="11" t="s">
        <v>45</v>
      </c>
      <c r="J723" s="15" t="s">
        <v>46</v>
      </c>
    </row>
    <row r="724" spans="1:35" s="14" customFormat="1" ht="12" customHeight="1" x14ac:dyDescent="0.25">
      <c r="A724" s="9">
        <v>722</v>
      </c>
      <c r="B724" s="14" t="s">
        <v>1793</v>
      </c>
      <c r="C724" s="14" t="s">
        <v>1794</v>
      </c>
      <c r="D724" s="9" t="s">
        <v>14</v>
      </c>
      <c r="E724" s="15" t="s">
        <v>1792</v>
      </c>
      <c r="F724" s="12">
        <f>DATE(2018,3,15)</f>
        <v>43174</v>
      </c>
      <c r="G724" s="13">
        <v>1984</v>
      </c>
      <c r="H724" s="13">
        <v>1</v>
      </c>
      <c r="I724" s="11" t="s">
        <v>45</v>
      </c>
      <c r="J724" s="15" t="s">
        <v>46</v>
      </c>
    </row>
    <row r="725" spans="1:35" s="14" customFormat="1" ht="12" customHeight="1" x14ac:dyDescent="0.25">
      <c r="A725" s="9">
        <v>723</v>
      </c>
      <c r="B725" s="14" t="s">
        <v>1795</v>
      </c>
      <c r="C725" s="14" t="s">
        <v>1796</v>
      </c>
      <c r="D725" s="9" t="s">
        <v>77</v>
      </c>
      <c r="E725" s="14" t="s">
        <v>1795</v>
      </c>
      <c r="F725" s="12"/>
      <c r="G725" s="13">
        <v>2023</v>
      </c>
      <c r="H725" s="13">
        <v>0</v>
      </c>
      <c r="I725" s="11" t="s">
        <v>24</v>
      </c>
      <c r="J725" s="15" t="s">
        <v>1797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s="14" customFormat="1" ht="12" customHeight="1" x14ac:dyDescent="0.25">
      <c r="A726" s="9">
        <v>724</v>
      </c>
      <c r="B726" s="14" t="s">
        <v>1798</v>
      </c>
      <c r="C726" s="14" t="s">
        <v>1799</v>
      </c>
      <c r="D726" s="9" t="s">
        <v>31</v>
      </c>
      <c r="E726" s="15"/>
      <c r="F726" s="12"/>
      <c r="G726" s="13">
        <v>1998</v>
      </c>
      <c r="H726" s="13">
        <v>0</v>
      </c>
      <c r="I726" s="11" t="s">
        <v>45</v>
      </c>
      <c r="J726" s="15" t="s">
        <v>1800</v>
      </c>
    </row>
    <row r="727" spans="1:35" s="14" customFormat="1" ht="12" customHeight="1" x14ac:dyDescent="0.25">
      <c r="A727" s="9">
        <v>725</v>
      </c>
      <c r="B727" s="14" t="s">
        <v>1801</v>
      </c>
      <c r="C727" s="14" t="s">
        <v>1431</v>
      </c>
      <c r="D727" s="9" t="s">
        <v>31</v>
      </c>
      <c r="E727" s="15" t="str">
        <f>B727</f>
        <v>Glucocerebrosidase</v>
      </c>
      <c r="F727" s="12">
        <f>DATE(2016,3,10)</f>
        <v>42439</v>
      </c>
      <c r="G727" s="13">
        <v>1991</v>
      </c>
      <c r="H727" s="13">
        <v>1</v>
      </c>
      <c r="I727" s="11" t="s">
        <v>104</v>
      </c>
      <c r="J727" s="15" t="s">
        <v>155</v>
      </c>
    </row>
    <row r="728" spans="1:35" s="14" customFormat="1" ht="12" customHeight="1" x14ac:dyDescent="0.25">
      <c r="A728" s="9">
        <v>726</v>
      </c>
      <c r="B728" s="14" t="s">
        <v>901</v>
      </c>
      <c r="C728" s="14" t="s">
        <v>1802</v>
      </c>
      <c r="D728" s="9" t="s">
        <v>36</v>
      </c>
      <c r="E728" s="15" t="str">
        <f>B728</f>
        <v>Glucosamine</v>
      </c>
      <c r="F728" s="12">
        <f>DATE(2018,3,16)</f>
        <v>43175</v>
      </c>
      <c r="G728" s="13" t="s">
        <v>174</v>
      </c>
      <c r="H728" s="13">
        <v>1</v>
      </c>
      <c r="I728" s="11" t="s">
        <v>190</v>
      </c>
      <c r="J728" s="15" t="s">
        <v>1803</v>
      </c>
    </row>
    <row r="729" spans="1:35" s="14" customFormat="1" ht="12" customHeight="1" x14ac:dyDescent="0.25">
      <c r="A729" s="9">
        <v>727</v>
      </c>
      <c r="B729" s="14" t="s">
        <v>1804</v>
      </c>
      <c r="C729" s="14" t="s">
        <v>1805</v>
      </c>
      <c r="D729" s="9" t="s">
        <v>44</v>
      </c>
      <c r="E729" s="15" t="s">
        <v>1792</v>
      </c>
      <c r="F729" s="12">
        <f>DATE(2018,3,15)</f>
        <v>43174</v>
      </c>
      <c r="G729" s="13">
        <v>1964</v>
      </c>
      <c r="H729" s="13">
        <v>1</v>
      </c>
      <c r="I729" s="11" t="s">
        <v>45</v>
      </c>
      <c r="J729" s="15" t="s">
        <v>46</v>
      </c>
    </row>
    <row r="730" spans="1:35" s="14" customFormat="1" ht="12" customHeight="1" x14ac:dyDescent="0.25">
      <c r="A730" s="9">
        <v>728</v>
      </c>
      <c r="B730" s="14" t="s">
        <v>1806</v>
      </c>
      <c r="C730" s="14" t="s">
        <v>1807</v>
      </c>
      <c r="D730" s="9" t="s">
        <v>31</v>
      </c>
      <c r="E730" s="15" t="str">
        <f>B730</f>
        <v>Glycopyrrolate</v>
      </c>
      <c r="F730" s="12">
        <f>DATE(2017,7,27)</f>
        <v>42943</v>
      </c>
      <c r="G730" s="13">
        <v>1961</v>
      </c>
      <c r="H730" s="13">
        <v>1</v>
      </c>
      <c r="I730" s="11" t="s">
        <v>73</v>
      </c>
      <c r="J730" s="15" t="s">
        <v>1808</v>
      </c>
    </row>
    <row r="731" spans="1:35" s="14" customFormat="1" ht="12" customHeight="1" x14ac:dyDescent="0.25">
      <c r="A731" s="9">
        <v>729</v>
      </c>
      <c r="B731" s="14" t="s">
        <v>1809</v>
      </c>
      <c r="C731" s="14" t="s">
        <v>1810</v>
      </c>
      <c r="D731" s="9" t="s">
        <v>23</v>
      </c>
      <c r="E731" s="15" t="str">
        <f>B731</f>
        <v>Golimumab</v>
      </c>
      <c r="F731" s="12">
        <f>DATE(2017,2,5)</f>
        <v>42771</v>
      </c>
      <c r="G731" s="13">
        <v>2009</v>
      </c>
      <c r="H731" s="13">
        <v>1</v>
      </c>
      <c r="I731" s="11" t="s">
        <v>19</v>
      </c>
      <c r="J731" s="15" t="s">
        <v>94</v>
      </c>
    </row>
    <row r="732" spans="1:35" s="14" customFormat="1" ht="12" customHeight="1" x14ac:dyDescent="0.25">
      <c r="A732" s="9">
        <v>730</v>
      </c>
      <c r="B732" s="14" t="s">
        <v>1811</v>
      </c>
      <c r="C732" s="14" t="s">
        <v>1812</v>
      </c>
      <c r="D732" s="9" t="s">
        <v>31</v>
      </c>
      <c r="E732" s="15" t="str">
        <f>B732</f>
        <v>Golodirsen</v>
      </c>
      <c r="F732" s="12">
        <f>DATE(2022,12,1)</f>
        <v>44896</v>
      </c>
      <c r="G732" s="13">
        <v>2019</v>
      </c>
      <c r="H732" s="13">
        <v>1</v>
      </c>
      <c r="I732" s="11" t="s">
        <v>104</v>
      </c>
      <c r="J732" s="15" t="s">
        <v>1143</v>
      </c>
    </row>
    <row r="733" spans="1:35" s="14" customFormat="1" ht="12" customHeight="1" x14ac:dyDescent="0.25">
      <c r="A733" s="9">
        <v>731</v>
      </c>
      <c r="B733" s="14" t="s">
        <v>1813</v>
      </c>
      <c r="C733" s="14" t="s">
        <v>1814</v>
      </c>
      <c r="D733" s="9" t="s">
        <v>36</v>
      </c>
      <c r="E733" s="15" t="str">
        <f>B733</f>
        <v>Goserelin</v>
      </c>
      <c r="F733" s="12">
        <f>DATE(2018,3,21)</f>
        <v>43180</v>
      </c>
      <c r="G733" s="13">
        <v>1989</v>
      </c>
      <c r="H733" s="13">
        <v>1</v>
      </c>
      <c r="I733" s="11" t="s">
        <v>24</v>
      </c>
      <c r="J733" s="15" t="s">
        <v>28</v>
      </c>
    </row>
    <row r="734" spans="1:35" s="14" customFormat="1" ht="12" customHeight="1" x14ac:dyDescent="0.25">
      <c r="A734" s="9">
        <v>732</v>
      </c>
      <c r="B734" s="14" t="s">
        <v>1815</v>
      </c>
      <c r="C734" s="14" t="s">
        <v>1816</v>
      </c>
      <c r="D734" s="9" t="s">
        <v>31</v>
      </c>
      <c r="E734" s="15" t="s">
        <v>1817</v>
      </c>
      <c r="F734" s="12">
        <f>DATE(2018,1,14)</f>
        <v>43114</v>
      </c>
      <c r="G734" s="13">
        <v>1993</v>
      </c>
      <c r="H734" s="13">
        <v>1</v>
      </c>
      <c r="I734" s="11" t="s">
        <v>182</v>
      </c>
      <c r="J734" s="15" t="s">
        <v>318</v>
      </c>
    </row>
    <row r="735" spans="1:35" s="14" customFormat="1" ht="12" customHeight="1" x14ac:dyDescent="0.25">
      <c r="A735" s="9">
        <v>733</v>
      </c>
      <c r="B735" s="14" t="s">
        <v>1818</v>
      </c>
      <c r="C735" s="14" t="s">
        <v>188</v>
      </c>
      <c r="D735" s="9" t="s">
        <v>31</v>
      </c>
      <c r="E735" s="15" t="s">
        <v>1818</v>
      </c>
      <c r="F735" s="12">
        <f>DATE(2023,3,20)</f>
        <v>45005</v>
      </c>
      <c r="G735" s="13" t="s">
        <v>174</v>
      </c>
      <c r="H735" s="13">
        <v>1</v>
      </c>
      <c r="I735" s="11" t="s">
        <v>175</v>
      </c>
      <c r="J735" s="15" t="s">
        <v>852</v>
      </c>
    </row>
    <row r="736" spans="1:35" s="14" customFormat="1" ht="12" customHeight="1" x14ac:dyDescent="0.25">
      <c r="A736" s="9">
        <v>734</v>
      </c>
      <c r="B736" s="14" t="s">
        <v>1819</v>
      </c>
      <c r="C736" s="14" t="s">
        <v>1390</v>
      </c>
      <c r="D736" s="9" t="s">
        <v>14</v>
      </c>
      <c r="E736" s="15" t="s">
        <v>1390</v>
      </c>
      <c r="F736" s="12">
        <f>DATE(2022,3,22)</f>
        <v>44642</v>
      </c>
      <c r="G736" s="13">
        <v>2016</v>
      </c>
      <c r="H736" s="13">
        <v>1</v>
      </c>
      <c r="I736" s="11" t="s">
        <v>15</v>
      </c>
      <c r="J736" s="15" t="s">
        <v>366</v>
      </c>
    </row>
    <row r="737" spans="1:35" s="14" customFormat="1" ht="12" customHeight="1" x14ac:dyDescent="0.25">
      <c r="A737" s="9">
        <v>735</v>
      </c>
      <c r="B737" s="14" t="s">
        <v>1820</v>
      </c>
      <c r="C737" s="14" t="s">
        <v>188</v>
      </c>
      <c r="D737" s="9" t="s">
        <v>166</v>
      </c>
      <c r="E737" s="15" t="str">
        <f>B737</f>
        <v>Green tea</v>
      </c>
      <c r="F737" s="12">
        <f>DATE(2020,11,20)</f>
        <v>44155</v>
      </c>
      <c r="G737" s="13" t="s">
        <v>174</v>
      </c>
      <c r="H737" s="13">
        <v>1</v>
      </c>
      <c r="I737" s="11" t="s">
        <v>175</v>
      </c>
      <c r="J737" s="15" t="s">
        <v>1462</v>
      </c>
    </row>
    <row r="738" spans="1:35" s="14" customFormat="1" ht="12" customHeight="1" x14ac:dyDescent="0.25">
      <c r="A738" s="9">
        <v>736</v>
      </c>
      <c r="B738" s="14" t="s">
        <v>1821</v>
      </c>
      <c r="C738" s="14" t="s">
        <v>1822</v>
      </c>
      <c r="D738" s="9" t="s">
        <v>14</v>
      </c>
      <c r="E738" s="15" t="str">
        <f>B738</f>
        <v>Griseofulvin</v>
      </c>
      <c r="F738" s="12">
        <f>DATE(2018,3,12)</f>
        <v>43171</v>
      </c>
      <c r="G738" s="13">
        <v>2007</v>
      </c>
      <c r="H738" s="13">
        <v>1</v>
      </c>
      <c r="I738" s="11" t="s">
        <v>15</v>
      </c>
      <c r="J738" s="15" t="s">
        <v>271</v>
      </c>
    </row>
    <row r="739" spans="1:35" s="14" customFormat="1" ht="12" customHeight="1" x14ac:dyDescent="0.25">
      <c r="A739" s="9">
        <v>737</v>
      </c>
      <c r="B739" s="14" t="s">
        <v>1823</v>
      </c>
      <c r="C739" s="14" t="s">
        <v>1824</v>
      </c>
      <c r="D739" s="9" t="s">
        <v>77</v>
      </c>
      <c r="E739" s="15"/>
      <c r="F739" s="12"/>
      <c r="G739" s="13">
        <v>1982</v>
      </c>
      <c r="H739" s="13">
        <v>0</v>
      </c>
      <c r="I739" s="11" t="s">
        <v>49</v>
      </c>
      <c r="J739" s="15" t="s">
        <v>50</v>
      </c>
    </row>
    <row r="740" spans="1:35" s="14" customFormat="1" ht="12" customHeight="1" x14ac:dyDescent="0.25">
      <c r="A740" s="9">
        <v>738</v>
      </c>
      <c r="B740" s="14" t="s">
        <v>1825</v>
      </c>
      <c r="C740" s="14" t="s">
        <v>1826</v>
      </c>
      <c r="D740" s="9" t="s">
        <v>31</v>
      </c>
      <c r="E740" s="15" t="str">
        <f>B740</f>
        <v>Guanfacine</v>
      </c>
      <c r="F740" s="12">
        <f>DATE(2021,8,25)</f>
        <v>44433</v>
      </c>
      <c r="G740" s="13">
        <v>1986</v>
      </c>
      <c r="H740" s="13">
        <v>1</v>
      </c>
      <c r="I740" s="11" t="s">
        <v>49</v>
      </c>
      <c r="J740" s="15" t="s">
        <v>50</v>
      </c>
    </row>
    <row r="741" spans="1:35" s="14" customFormat="1" ht="12" customHeight="1" x14ac:dyDescent="0.25">
      <c r="A741" s="9">
        <v>739</v>
      </c>
      <c r="B741" s="14" t="s">
        <v>1827</v>
      </c>
      <c r="C741" s="14" t="s">
        <v>188</v>
      </c>
      <c r="D741" s="9" t="s">
        <v>31</v>
      </c>
      <c r="E741" s="15" t="s">
        <v>1827</v>
      </c>
      <c r="F741" s="12">
        <f>DATE(2023,1,24)</f>
        <v>44950</v>
      </c>
      <c r="G741" s="13" t="s">
        <v>174</v>
      </c>
      <c r="H741" s="13">
        <v>1</v>
      </c>
      <c r="I741" s="11" t="s">
        <v>175</v>
      </c>
      <c r="J741" s="15" t="s">
        <v>354</v>
      </c>
    </row>
    <row r="742" spans="1:35" s="14" customFormat="1" ht="12" customHeight="1" x14ac:dyDescent="0.25">
      <c r="A742" s="9">
        <v>740</v>
      </c>
      <c r="B742" s="14" t="s">
        <v>1828</v>
      </c>
      <c r="C742" s="14" t="s">
        <v>1829</v>
      </c>
      <c r="D742" s="9" t="s">
        <v>23</v>
      </c>
      <c r="E742" s="15" t="str">
        <f>B742</f>
        <v>Guselkumab</v>
      </c>
      <c r="F742" s="12">
        <f>DATE(2018,6,26)</f>
        <v>43277</v>
      </c>
      <c r="G742" s="13">
        <v>2017</v>
      </c>
      <c r="H742" s="13">
        <v>1</v>
      </c>
      <c r="I742" s="11" t="s">
        <v>32</v>
      </c>
      <c r="J742" s="15" t="s">
        <v>70</v>
      </c>
    </row>
    <row r="743" spans="1:35" s="14" customFormat="1" ht="12" customHeight="1" x14ac:dyDescent="0.25">
      <c r="A743" s="9">
        <v>741</v>
      </c>
      <c r="B743" s="15" t="s">
        <v>1830</v>
      </c>
      <c r="C743" s="14" t="s">
        <v>1831</v>
      </c>
      <c r="D743" s="9" t="s">
        <v>36</v>
      </c>
      <c r="E743" s="15" t="s">
        <v>1832</v>
      </c>
      <c r="F743" s="12">
        <f>DATE(2024,10,28)</f>
        <v>45593</v>
      </c>
      <c r="G743" s="13" t="s">
        <v>174</v>
      </c>
      <c r="H743" s="13">
        <v>1</v>
      </c>
      <c r="I743" s="11" t="s">
        <v>45</v>
      </c>
      <c r="J743" s="15" t="s">
        <v>46</v>
      </c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s="14" customFormat="1" ht="12" customHeight="1" x14ac:dyDescent="0.25">
      <c r="A744" s="9">
        <v>742</v>
      </c>
      <c r="B744" s="14" t="s">
        <v>1833</v>
      </c>
      <c r="C744" s="14" t="s">
        <v>1834</v>
      </c>
      <c r="D744" s="9" t="s">
        <v>44</v>
      </c>
      <c r="E744" s="15" t="str">
        <f>B744</f>
        <v>Haloperidol</v>
      </c>
      <c r="F744" s="12">
        <f>DATE(2018,3,25)</f>
        <v>43184</v>
      </c>
      <c r="G744" s="13">
        <v>1967</v>
      </c>
      <c r="H744" s="13">
        <v>1</v>
      </c>
      <c r="I744" s="11" t="s">
        <v>100</v>
      </c>
      <c r="J744" s="15" t="s">
        <v>328</v>
      </c>
    </row>
    <row r="745" spans="1:35" s="14" customFormat="1" ht="12" customHeight="1" x14ac:dyDescent="0.25">
      <c r="A745" s="9">
        <v>743</v>
      </c>
      <c r="B745" s="14" t="s">
        <v>1835</v>
      </c>
      <c r="C745" s="14" t="s">
        <v>188</v>
      </c>
      <c r="D745" s="9" t="s">
        <v>166</v>
      </c>
      <c r="E745" s="15" t="str">
        <f>B745</f>
        <v>Halothane</v>
      </c>
      <c r="F745" s="12">
        <f>DATE(2018,1,1)</f>
        <v>43101</v>
      </c>
      <c r="G745" s="13">
        <v>1958</v>
      </c>
      <c r="H745" s="13">
        <v>1</v>
      </c>
      <c r="I745" s="11" t="s">
        <v>100</v>
      </c>
      <c r="J745" s="15" t="s">
        <v>1162</v>
      </c>
    </row>
    <row r="746" spans="1:35" s="14" customFormat="1" ht="12" customHeight="1" x14ac:dyDescent="0.25">
      <c r="A746" s="9">
        <v>744</v>
      </c>
      <c r="B746" s="14" t="s">
        <v>1836</v>
      </c>
      <c r="C746" s="14" t="s">
        <v>1837</v>
      </c>
      <c r="D746" s="9" t="s">
        <v>31</v>
      </c>
      <c r="E746" s="15" t="s">
        <v>1836</v>
      </c>
      <c r="F746" s="12">
        <f>DATE(2023,1,24)</f>
        <v>44950</v>
      </c>
      <c r="G746" s="13" t="s">
        <v>174</v>
      </c>
      <c r="H746" s="13">
        <v>1</v>
      </c>
      <c r="I746" s="11" t="s">
        <v>175</v>
      </c>
      <c r="J746" s="15" t="s">
        <v>204</v>
      </c>
    </row>
    <row r="747" spans="1:35" s="14" customFormat="1" ht="12" customHeight="1" x14ac:dyDescent="0.25">
      <c r="A747" s="9">
        <v>745</v>
      </c>
      <c r="B747" s="14" t="s">
        <v>1838</v>
      </c>
      <c r="C747" s="14" t="s">
        <v>1839</v>
      </c>
      <c r="D747" s="9" t="s">
        <v>31</v>
      </c>
      <c r="E747" s="15" t="str">
        <f>B747</f>
        <v>Heparin</v>
      </c>
      <c r="F747" s="12">
        <f>DATE(2017,11,13)</f>
        <v>43052</v>
      </c>
      <c r="G747" s="13">
        <v>1942</v>
      </c>
      <c r="H747" s="13">
        <v>1</v>
      </c>
      <c r="I747" s="11" t="s">
        <v>230</v>
      </c>
      <c r="J747" s="15" t="s">
        <v>308</v>
      </c>
    </row>
    <row r="748" spans="1:35" s="14" customFormat="1" ht="12" customHeight="1" x14ac:dyDescent="0.25">
      <c r="A748" s="9">
        <v>746</v>
      </c>
      <c r="B748" s="14" t="s">
        <v>1840</v>
      </c>
      <c r="C748" s="14" t="s">
        <v>1840</v>
      </c>
      <c r="D748" s="13" t="s">
        <v>166</v>
      </c>
      <c r="E748" s="15" t="str">
        <f>B748</f>
        <v>Herbalife</v>
      </c>
      <c r="F748" s="12">
        <f>DATE(2018,4,11)</f>
        <v>43201</v>
      </c>
      <c r="G748" s="13" t="s">
        <v>174</v>
      </c>
      <c r="H748" s="13">
        <v>1</v>
      </c>
      <c r="I748" s="15" t="s">
        <v>175</v>
      </c>
      <c r="J748" s="15" t="s">
        <v>1462</v>
      </c>
    </row>
    <row r="749" spans="1:35" s="14" customFormat="1" ht="12" customHeight="1" x14ac:dyDescent="0.25">
      <c r="A749" s="9">
        <v>747</v>
      </c>
      <c r="B749" s="14" t="s">
        <v>1841</v>
      </c>
      <c r="C749" s="14" t="s">
        <v>335</v>
      </c>
      <c r="D749" s="9" t="s">
        <v>31</v>
      </c>
      <c r="E749" s="15" t="str">
        <f>B749</f>
        <v>Heroin</v>
      </c>
      <c r="F749" s="12">
        <f>DATE(2020,11,24)</f>
        <v>44159</v>
      </c>
      <c r="G749" s="13" t="s">
        <v>174</v>
      </c>
      <c r="H749" s="13">
        <v>1</v>
      </c>
      <c r="I749" s="11" t="s">
        <v>54</v>
      </c>
      <c r="J749" s="15" t="s">
        <v>148</v>
      </c>
    </row>
    <row r="750" spans="1:35" s="14" customFormat="1" ht="12" customHeight="1" x14ac:dyDescent="0.25">
      <c r="A750" s="9">
        <v>748</v>
      </c>
      <c r="B750" s="14" t="s">
        <v>1842</v>
      </c>
      <c r="C750" s="14" t="s">
        <v>1843</v>
      </c>
      <c r="D750" s="13" t="s">
        <v>23</v>
      </c>
      <c r="E750" s="15" t="str">
        <f>B750</f>
        <v>Histrelin</v>
      </c>
      <c r="F750" s="12">
        <f>DATE(2018,3,21)</f>
        <v>43180</v>
      </c>
      <c r="G750" s="13">
        <v>1991</v>
      </c>
      <c r="H750" s="13">
        <v>1</v>
      </c>
      <c r="I750" s="15" t="s">
        <v>24</v>
      </c>
      <c r="J750" s="15" t="s">
        <v>28</v>
      </c>
    </row>
    <row r="751" spans="1:35" s="14" customFormat="1" ht="12" customHeight="1" x14ac:dyDescent="0.25">
      <c r="A751" s="9">
        <v>749</v>
      </c>
      <c r="B751" s="14" t="s">
        <v>1844</v>
      </c>
      <c r="C751" s="14" t="s">
        <v>1431</v>
      </c>
      <c r="D751" s="13" t="s">
        <v>31</v>
      </c>
      <c r="E751" s="15" t="s">
        <v>392</v>
      </c>
      <c r="F751" s="12">
        <f>DATE(2017,7,27)</f>
        <v>42943</v>
      </c>
      <c r="G751" s="13" t="s">
        <v>63</v>
      </c>
      <c r="H751" s="13">
        <v>1</v>
      </c>
      <c r="I751" s="11" t="s">
        <v>73</v>
      </c>
      <c r="J751" s="15" t="s">
        <v>1196</v>
      </c>
    </row>
    <row r="752" spans="1:35" s="14" customFormat="1" ht="12" customHeight="1" x14ac:dyDescent="0.25">
      <c r="A752" s="9">
        <v>750</v>
      </c>
      <c r="B752" s="14" t="s">
        <v>1845</v>
      </c>
      <c r="C752" s="14" t="s">
        <v>188</v>
      </c>
      <c r="D752" s="13" t="s">
        <v>31</v>
      </c>
      <c r="E752" s="15" t="str">
        <f>B752</f>
        <v>Hoodia</v>
      </c>
      <c r="F752" s="12">
        <f>DATE(2018,4,10)</f>
        <v>43200</v>
      </c>
      <c r="G752" s="13" t="s">
        <v>174</v>
      </c>
      <c r="H752" s="13">
        <v>1</v>
      </c>
      <c r="I752" s="11" t="s">
        <v>175</v>
      </c>
      <c r="J752" s="15" t="s">
        <v>1462</v>
      </c>
    </row>
    <row r="753" spans="1:11" s="14" customFormat="1" ht="12" customHeight="1" x14ac:dyDescent="0.25">
      <c r="A753" s="9">
        <v>751</v>
      </c>
      <c r="B753" s="14" t="s">
        <v>1846</v>
      </c>
      <c r="C753" s="14" t="s">
        <v>335</v>
      </c>
      <c r="D753" s="13" t="s">
        <v>31</v>
      </c>
      <c r="E753" s="15" t="str">
        <f>B753</f>
        <v>Hops</v>
      </c>
      <c r="F753" s="12">
        <f>DATE(2018,4,10)</f>
        <v>43200</v>
      </c>
      <c r="G753" s="13" t="s">
        <v>174</v>
      </c>
      <c r="H753" s="13">
        <v>1</v>
      </c>
      <c r="I753" s="11" t="s">
        <v>175</v>
      </c>
      <c r="J753" s="15" t="s">
        <v>1847</v>
      </c>
    </row>
    <row r="754" spans="1:11" s="14" customFormat="1" ht="12" customHeight="1" x14ac:dyDescent="0.25">
      <c r="A754" s="9">
        <v>752</v>
      </c>
      <c r="B754" s="14" t="s">
        <v>1848</v>
      </c>
      <c r="C754" s="14" t="s">
        <v>188</v>
      </c>
      <c r="D754" s="13" t="s">
        <v>31</v>
      </c>
      <c r="E754" s="15" t="s">
        <v>1848</v>
      </c>
      <c r="F754" s="12">
        <f>DATE(2022,8,8)</f>
        <v>44781</v>
      </c>
      <c r="G754" s="13" t="s">
        <v>174</v>
      </c>
      <c r="H754" s="13">
        <v>1</v>
      </c>
      <c r="I754" s="11" t="s">
        <v>175</v>
      </c>
      <c r="J754" s="15" t="s">
        <v>1849</v>
      </c>
      <c r="K754" s="13"/>
    </row>
    <row r="755" spans="1:11" s="14" customFormat="1" ht="12" customHeight="1" x14ac:dyDescent="0.25">
      <c r="A755" s="9">
        <v>753</v>
      </c>
      <c r="B755" s="14" t="s">
        <v>1850</v>
      </c>
      <c r="C755" s="14" t="s">
        <v>1851</v>
      </c>
      <c r="D755" s="13" t="s">
        <v>36</v>
      </c>
      <c r="E755" s="15" t="str">
        <f>B755</f>
        <v xml:space="preserve">Horse chestnut </v>
      </c>
      <c r="F755" s="12">
        <f>DATE(2018,4,10)</f>
        <v>43200</v>
      </c>
      <c r="G755" s="13" t="s">
        <v>174</v>
      </c>
      <c r="H755" s="13">
        <v>1</v>
      </c>
      <c r="I755" s="11" t="s">
        <v>175</v>
      </c>
      <c r="J755" s="15" t="s">
        <v>1852</v>
      </c>
    </row>
    <row r="756" spans="1:11" s="14" customFormat="1" ht="12" customHeight="1" x14ac:dyDescent="0.25">
      <c r="A756" s="9">
        <v>754</v>
      </c>
      <c r="B756" s="14" t="s">
        <v>1853</v>
      </c>
      <c r="C756" s="14" t="s">
        <v>188</v>
      </c>
      <c r="D756" s="13" t="s">
        <v>14</v>
      </c>
      <c r="E756" s="15" t="s">
        <v>1853</v>
      </c>
      <c r="F756" s="12">
        <f>DATE(2022,8,8)</f>
        <v>44781</v>
      </c>
      <c r="G756" s="13" t="s">
        <v>174</v>
      </c>
      <c r="H756" s="13">
        <v>1</v>
      </c>
      <c r="I756" s="15" t="s">
        <v>175</v>
      </c>
      <c r="J756" s="15" t="s">
        <v>1854</v>
      </c>
      <c r="K756" s="13"/>
    </row>
    <row r="757" spans="1:11" s="14" customFormat="1" ht="12" customHeight="1" x14ac:dyDescent="0.25">
      <c r="A757" s="9">
        <v>755</v>
      </c>
      <c r="B757" s="14" t="s">
        <v>1855</v>
      </c>
      <c r="C757" s="14" t="s">
        <v>1856</v>
      </c>
      <c r="D757" s="13" t="s">
        <v>166</v>
      </c>
      <c r="E757" s="15" t="str">
        <f>B757</f>
        <v>Hydralazine</v>
      </c>
      <c r="F757" s="12">
        <f>DATE(2018,3,25)</f>
        <v>43184</v>
      </c>
      <c r="G757" s="13">
        <v>1984</v>
      </c>
      <c r="H757" s="13">
        <v>1</v>
      </c>
      <c r="I757" s="15" t="s">
        <v>49</v>
      </c>
      <c r="J757" s="15" t="s">
        <v>50</v>
      </c>
    </row>
    <row r="758" spans="1:11" s="14" customFormat="1" ht="12" customHeight="1" x14ac:dyDescent="0.25">
      <c r="A758" s="9">
        <v>756</v>
      </c>
      <c r="B758" s="14" t="s">
        <v>1857</v>
      </c>
      <c r="C758" s="14" t="s">
        <v>1858</v>
      </c>
      <c r="D758" s="13" t="s">
        <v>14</v>
      </c>
      <c r="E758" s="15" t="s">
        <v>507</v>
      </c>
      <c r="F758" s="12">
        <f>DATE(2017,10,2)</f>
        <v>43010</v>
      </c>
      <c r="G758" s="13">
        <v>1959</v>
      </c>
      <c r="H758" s="13">
        <v>1</v>
      </c>
      <c r="I758" s="15" t="s">
        <v>49</v>
      </c>
      <c r="J758" s="15" t="s">
        <v>59</v>
      </c>
    </row>
    <row r="759" spans="1:11" s="14" customFormat="1" ht="12" customHeight="1" x14ac:dyDescent="0.25">
      <c r="A759" s="9">
        <v>757</v>
      </c>
      <c r="B759" s="14" t="s">
        <v>1859</v>
      </c>
      <c r="C759" s="14" t="s">
        <v>1860</v>
      </c>
      <c r="D759" s="13" t="s">
        <v>31</v>
      </c>
      <c r="E759" s="15" t="str">
        <f>B759</f>
        <v>Hydrocodone</v>
      </c>
      <c r="F759" s="12">
        <f>DATE(2020,11,24)</f>
        <v>44159</v>
      </c>
      <c r="G759" s="13">
        <v>1998</v>
      </c>
      <c r="H759" s="13">
        <v>1</v>
      </c>
      <c r="I759" s="15" t="s">
        <v>54</v>
      </c>
      <c r="J759" s="15" t="s">
        <v>984</v>
      </c>
    </row>
    <row r="760" spans="1:11" s="14" customFormat="1" ht="12" customHeight="1" x14ac:dyDescent="0.25">
      <c r="A760" s="9">
        <v>758</v>
      </c>
      <c r="B760" s="14" t="s">
        <v>1861</v>
      </c>
      <c r="C760" s="14" t="s">
        <v>1862</v>
      </c>
      <c r="D760" s="13" t="s">
        <v>31</v>
      </c>
      <c r="E760" s="15" t="s">
        <v>536</v>
      </c>
      <c r="F760" s="12">
        <f>DATE(2020,11,1)</f>
        <v>44136</v>
      </c>
      <c r="G760" s="13">
        <v>1983</v>
      </c>
      <c r="H760" s="13">
        <v>1</v>
      </c>
      <c r="I760" s="15" t="s">
        <v>45</v>
      </c>
      <c r="J760" s="15" t="s">
        <v>291</v>
      </c>
    </row>
    <row r="761" spans="1:11" s="14" customFormat="1" ht="12" customHeight="1" x14ac:dyDescent="0.25">
      <c r="A761" s="9">
        <v>759</v>
      </c>
      <c r="B761" s="14" t="s">
        <v>1863</v>
      </c>
      <c r="C761" s="14" t="s">
        <v>1864</v>
      </c>
      <c r="D761" s="13" t="s">
        <v>31</v>
      </c>
      <c r="E761" s="15" t="s">
        <v>507</v>
      </c>
      <c r="F761" s="12"/>
      <c r="G761" s="13">
        <v>1973</v>
      </c>
      <c r="H761" s="13">
        <v>0</v>
      </c>
      <c r="I761" s="15" t="s">
        <v>49</v>
      </c>
      <c r="J761" s="15" t="s">
        <v>59</v>
      </c>
    </row>
    <row r="762" spans="1:11" s="14" customFormat="1" ht="12" customHeight="1" x14ac:dyDescent="0.25">
      <c r="A762" s="9">
        <v>760</v>
      </c>
      <c r="B762" s="14" t="s">
        <v>1865</v>
      </c>
      <c r="C762" s="14" t="s">
        <v>1866</v>
      </c>
      <c r="D762" s="13" t="s">
        <v>31</v>
      </c>
      <c r="E762" s="15" t="str">
        <f>B762</f>
        <v>Hydromorphone</v>
      </c>
      <c r="F762" s="12">
        <f>DATE(2020,11,24)</f>
        <v>44159</v>
      </c>
      <c r="G762" s="13">
        <v>1984</v>
      </c>
      <c r="H762" s="13">
        <v>1</v>
      </c>
      <c r="I762" s="15" t="s">
        <v>54</v>
      </c>
      <c r="J762" s="15" t="s">
        <v>984</v>
      </c>
    </row>
    <row r="763" spans="1:11" s="14" customFormat="1" ht="12" customHeight="1" x14ac:dyDescent="0.25">
      <c r="A763" s="9">
        <v>761</v>
      </c>
      <c r="B763" s="14" t="s">
        <v>1867</v>
      </c>
      <c r="C763" s="14" t="s">
        <v>1868</v>
      </c>
      <c r="D763" s="13" t="s">
        <v>14</v>
      </c>
      <c r="E763" s="15" t="str">
        <f>B763</f>
        <v>Hydroxychloroquine</v>
      </c>
      <c r="F763" s="12">
        <f>DATE(2021,4,15)</f>
        <v>44301</v>
      </c>
      <c r="G763" s="13">
        <v>1994</v>
      </c>
      <c r="H763" s="13">
        <v>1</v>
      </c>
      <c r="I763" s="15" t="s">
        <v>19</v>
      </c>
      <c r="J763" s="15" t="s">
        <v>94</v>
      </c>
    </row>
    <row r="764" spans="1:11" s="14" customFormat="1" ht="12" customHeight="1" x14ac:dyDescent="0.25">
      <c r="A764" s="9">
        <v>762</v>
      </c>
      <c r="B764" s="14" t="s">
        <v>1869</v>
      </c>
      <c r="C764" s="14" t="s">
        <v>1869</v>
      </c>
      <c r="D764" s="13" t="s">
        <v>44</v>
      </c>
      <c r="E764" s="15" t="str">
        <f>B764</f>
        <v>Hydroxycut</v>
      </c>
      <c r="F764" s="12">
        <f>DATE(2018,4,11)</f>
        <v>43201</v>
      </c>
      <c r="G764" s="13" t="s">
        <v>174</v>
      </c>
      <c r="H764" s="13">
        <v>1</v>
      </c>
      <c r="I764" s="15" t="s">
        <v>175</v>
      </c>
      <c r="J764" s="15" t="s">
        <v>1462</v>
      </c>
    </row>
    <row r="765" spans="1:11" s="14" customFormat="1" ht="12" customHeight="1" x14ac:dyDescent="0.25">
      <c r="A765" s="9">
        <v>763</v>
      </c>
      <c r="B765" s="14" t="s">
        <v>1870</v>
      </c>
      <c r="C765" s="14" t="s">
        <v>1871</v>
      </c>
      <c r="D765" s="13" t="s">
        <v>166</v>
      </c>
      <c r="E765" s="15" t="s">
        <v>1050</v>
      </c>
      <c r="F765" s="12">
        <f>DATE(2020,6,24)</f>
        <v>44006</v>
      </c>
      <c r="G765" s="13">
        <v>2011</v>
      </c>
      <c r="H765" s="13">
        <v>1</v>
      </c>
      <c r="I765" s="15" t="s">
        <v>473</v>
      </c>
      <c r="J765" s="15" t="s">
        <v>1173</v>
      </c>
    </row>
    <row r="766" spans="1:11" s="14" customFormat="1" ht="12" customHeight="1" x14ac:dyDescent="0.25">
      <c r="A766" s="9">
        <v>764</v>
      </c>
      <c r="B766" s="14" t="s">
        <v>1872</v>
      </c>
      <c r="C766" s="14" t="s">
        <v>1873</v>
      </c>
      <c r="D766" s="13" t="s">
        <v>14</v>
      </c>
      <c r="E766" s="15" t="str">
        <f>B766</f>
        <v>Hydroxyurea</v>
      </c>
      <c r="F766" s="12">
        <f>DATE(2018,3,25)</f>
        <v>43184</v>
      </c>
      <c r="G766" s="13">
        <v>1967</v>
      </c>
      <c r="H766" s="13">
        <v>1</v>
      </c>
      <c r="I766" s="15" t="s">
        <v>24</v>
      </c>
      <c r="J766" s="15" t="s">
        <v>1874</v>
      </c>
    </row>
    <row r="767" spans="1:11" s="14" customFormat="1" ht="12" customHeight="1" x14ac:dyDescent="0.25">
      <c r="A767" s="9">
        <v>765</v>
      </c>
      <c r="B767" s="14" t="s">
        <v>1875</v>
      </c>
      <c r="C767" s="14" t="s">
        <v>1876</v>
      </c>
      <c r="D767" s="13" t="s">
        <v>31</v>
      </c>
      <c r="E767" s="15" t="str">
        <f>B767</f>
        <v>Hydroxyzine</v>
      </c>
      <c r="F767" s="12">
        <f>DATE(2017,1,17)</f>
        <v>42752</v>
      </c>
      <c r="G767" s="13">
        <v>1956</v>
      </c>
      <c r="H767" s="13">
        <v>1</v>
      </c>
      <c r="I767" s="15" t="s">
        <v>73</v>
      </c>
      <c r="J767" s="15" t="s">
        <v>85</v>
      </c>
    </row>
    <row r="768" spans="1:11" s="14" customFormat="1" ht="12" customHeight="1" x14ac:dyDescent="0.25">
      <c r="A768" s="9">
        <v>766</v>
      </c>
      <c r="B768" s="14" t="s">
        <v>1877</v>
      </c>
      <c r="C768" s="14" t="s">
        <v>1878</v>
      </c>
      <c r="D768" s="13" t="s">
        <v>31</v>
      </c>
      <c r="E768" s="15" t="str">
        <f>B768</f>
        <v>Hyoscyamine</v>
      </c>
      <c r="F768" s="12">
        <f>DATE(2017,7,27)</f>
        <v>42943</v>
      </c>
      <c r="G768" s="13" t="s">
        <v>174</v>
      </c>
      <c r="H768" s="13">
        <v>1</v>
      </c>
      <c r="I768" s="15" t="s">
        <v>182</v>
      </c>
      <c r="J768" s="15" t="s">
        <v>1879</v>
      </c>
    </row>
    <row r="769" spans="1:35" s="14" customFormat="1" ht="12" customHeight="1" x14ac:dyDescent="0.25">
      <c r="A769" s="9">
        <v>767</v>
      </c>
      <c r="B769" s="14" t="s">
        <v>1880</v>
      </c>
      <c r="C769" s="14" t="s">
        <v>335</v>
      </c>
      <c r="D769" s="13" t="s">
        <v>31</v>
      </c>
      <c r="E769" s="15" t="str">
        <f>B769</f>
        <v>Hyssop</v>
      </c>
      <c r="F769" s="12">
        <f>DATE(2018,4,10)</f>
        <v>43200</v>
      </c>
      <c r="G769" s="13" t="s">
        <v>174</v>
      </c>
      <c r="H769" s="13">
        <v>1</v>
      </c>
      <c r="I769" s="15" t="s">
        <v>175</v>
      </c>
      <c r="J769" s="15" t="s">
        <v>1881</v>
      </c>
    </row>
    <row r="770" spans="1:35" s="14" customFormat="1" ht="12" customHeight="1" x14ac:dyDescent="0.25">
      <c r="A770" s="9">
        <v>768</v>
      </c>
      <c r="B770" s="14" t="s">
        <v>1882</v>
      </c>
      <c r="C770" s="14" t="s">
        <v>1883</v>
      </c>
      <c r="D770" s="13" t="s">
        <v>31</v>
      </c>
      <c r="E770" s="15" t="str">
        <f>B770</f>
        <v>Ibalizumab</v>
      </c>
      <c r="F770" s="12">
        <f>DATE(2018,8,8)</f>
        <v>43320</v>
      </c>
      <c r="G770" s="13">
        <v>2018</v>
      </c>
      <c r="H770" s="13">
        <v>1</v>
      </c>
      <c r="I770" s="15" t="s">
        <v>15</v>
      </c>
      <c r="J770" s="15" t="s">
        <v>561</v>
      </c>
    </row>
    <row r="771" spans="1:35" s="14" customFormat="1" ht="12" customHeight="1" x14ac:dyDescent="0.25">
      <c r="A771" s="9">
        <v>769</v>
      </c>
      <c r="B771" s="14" t="s">
        <v>1884</v>
      </c>
      <c r="C771" s="14" t="s">
        <v>1885</v>
      </c>
      <c r="D771" s="13" t="s">
        <v>36</v>
      </c>
      <c r="E771" s="15" t="s">
        <v>143</v>
      </c>
      <c r="F771" s="12">
        <f>DATE(2018,6,15)</f>
        <v>43266</v>
      </c>
      <c r="G771" s="13">
        <v>2003</v>
      </c>
      <c r="H771" s="13">
        <v>1</v>
      </c>
      <c r="I771" s="15" t="s">
        <v>45</v>
      </c>
      <c r="J771" s="15" t="s">
        <v>144</v>
      </c>
    </row>
    <row r="772" spans="1:35" s="14" customFormat="1" ht="12" customHeight="1" x14ac:dyDescent="0.25">
      <c r="A772" s="9">
        <v>770</v>
      </c>
      <c r="B772" s="14" t="s">
        <v>1886</v>
      </c>
      <c r="C772" s="14" t="s">
        <v>1887</v>
      </c>
      <c r="D772" s="13" t="s">
        <v>77</v>
      </c>
      <c r="E772" s="15" t="s">
        <v>1886</v>
      </c>
      <c r="F772" s="12"/>
      <c r="G772" s="16">
        <v>2021</v>
      </c>
      <c r="H772" s="13">
        <v>0</v>
      </c>
      <c r="I772" s="15" t="s">
        <v>15</v>
      </c>
      <c r="J772" s="15" t="s">
        <v>1888</v>
      </c>
    </row>
    <row r="773" spans="1:35" s="14" customFormat="1" ht="12" customHeight="1" x14ac:dyDescent="0.25">
      <c r="A773" s="9">
        <v>771</v>
      </c>
      <c r="B773" s="14" t="s">
        <v>1889</v>
      </c>
      <c r="C773" s="14" t="s">
        <v>1890</v>
      </c>
      <c r="D773" s="13" t="s">
        <v>36</v>
      </c>
      <c r="E773" s="15" t="str">
        <f>B773</f>
        <v>Ibrutinib</v>
      </c>
      <c r="F773" s="12">
        <f>DATE(2018,4,16)</f>
        <v>43206</v>
      </c>
      <c r="G773" s="13">
        <v>2013</v>
      </c>
      <c r="H773" s="13">
        <v>1</v>
      </c>
      <c r="I773" s="15" t="s">
        <v>24</v>
      </c>
      <c r="J773" s="15" t="s">
        <v>504</v>
      </c>
    </row>
    <row r="774" spans="1:35" s="14" customFormat="1" ht="12" customHeight="1" x14ac:dyDescent="0.25">
      <c r="A774" s="9">
        <v>772</v>
      </c>
      <c r="B774" s="14" t="s">
        <v>1891</v>
      </c>
      <c r="C774" s="14" t="s">
        <v>1892</v>
      </c>
      <c r="D774" s="13" t="s">
        <v>166</v>
      </c>
      <c r="E774" s="15" t="str">
        <f>B774</f>
        <v>Ibuprofen</v>
      </c>
      <c r="F774" s="12">
        <f>DATE(2025,7,10)</f>
        <v>45848</v>
      </c>
      <c r="G774" s="13">
        <v>1974</v>
      </c>
      <c r="H774" s="13">
        <v>1</v>
      </c>
      <c r="I774" s="15" t="s">
        <v>54</v>
      </c>
      <c r="J774" s="15" t="s">
        <v>55</v>
      </c>
    </row>
    <row r="775" spans="1:35" s="14" customFormat="1" ht="12" customHeight="1" x14ac:dyDescent="0.25">
      <c r="A775" s="9">
        <v>773</v>
      </c>
      <c r="B775" s="15" t="s">
        <v>1893</v>
      </c>
      <c r="C775" s="15" t="s">
        <v>1894</v>
      </c>
      <c r="D775" s="13" t="s">
        <v>14</v>
      </c>
      <c r="E775" s="14" t="s">
        <v>287</v>
      </c>
      <c r="F775" s="12">
        <f>DATE(2025,9,20)</f>
        <v>45920</v>
      </c>
      <c r="G775" s="13" t="s">
        <v>174</v>
      </c>
      <c r="H775" s="13">
        <v>1</v>
      </c>
      <c r="I775" s="15" t="s">
        <v>45</v>
      </c>
      <c r="J775" s="13" t="s">
        <v>288</v>
      </c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</row>
    <row r="776" spans="1:35" s="14" customFormat="1" ht="12" customHeight="1" x14ac:dyDescent="0.25">
      <c r="A776" s="9">
        <v>774</v>
      </c>
      <c r="B776" s="15" t="s">
        <v>1895</v>
      </c>
      <c r="C776" s="15" t="s">
        <v>1896</v>
      </c>
      <c r="D776" s="13" t="s">
        <v>31</v>
      </c>
      <c r="E776" s="15" t="s">
        <v>675</v>
      </c>
      <c r="F776" s="12">
        <f>DATE(2024,6,20)</f>
        <v>45463</v>
      </c>
      <c r="G776" s="13">
        <v>2011</v>
      </c>
      <c r="H776" s="13">
        <v>1</v>
      </c>
      <c r="I776" s="15" t="s">
        <v>104</v>
      </c>
      <c r="J776" s="15" t="s">
        <v>527</v>
      </c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s="14" customFormat="1" ht="12" customHeight="1" x14ac:dyDescent="0.25">
      <c r="A777" s="9">
        <v>775</v>
      </c>
      <c r="B777" s="14" t="s">
        <v>1897</v>
      </c>
      <c r="C777" s="14" t="s">
        <v>1898</v>
      </c>
      <c r="D777" s="13" t="s">
        <v>23</v>
      </c>
      <c r="E777" s="15" t="s">
        <v>1310</v>
      </c>
      <c r="F777" s="12">
        <f>DATE(2018,1,14)</f>
        <v>43114</v>
      </c>
      <c r="G777" s="13">
        <v>1990</v>
      </c>
      <c r="H777" s="13">
        <v>1</v>
      </c>
      <c r="I777" s="15" t="s">
        <v>24</v>
      </c>
      <c r="J777" s="15" t="s">
        <v>504</v>
      </c>
    </row>
    <row r="778" spans="1:35" s="14" customFormat="1" ht="12" customHeight="1" x14ac:dyDescent="0.25">
      <c r="A778" s="9">
        <v>776</v>
      </c>
      <c r="B778" s="14" t="s">
        <v>1899</v>
      </c>
      <c r="C778" s="14" t="s">
        <v>1900</v>
      </c>
      <c r="D778" s="13" t="s">
        <v>36</v>
      </c>
      <c r="E778" s="15" t="str">
        <f>B778</f>
        <v>Idelalisib</v>
      </c>
      <c r="F778" s="12">
        <f>DATE(2018,4,16)</f>
        <v>43206</v>
      </c>
      <c r="G778" s="13">
        <v>2014</v>
      </c>
      <c r="H778" s="13">
        <v>1</v>
      </c>
      <c r="I778" s="15" t="s">
        <v>24</v>
      </c>
      <c r="J778" s="15" t="s">
        <v>1901</v>
      </c>
    </row>
    <row r="779" spans="1:35" s="14" customFormat="1" ht="12" customHeight="1" x14ac:dyDescent="0.25">
      <c r="A779" s="9">
        <v>777</v>
      </c>
      <c r="B779" s="15" t="s">
        <v>1902</v>
      </c>
      <c r="C779" s="15" t="s">
        <v>1903</v>
      </c>
      <c r="D779" s="13" t="s">
        <v>31</v>
      </c>
      <c r="E779" s="15" t="s">
        <v>118</v>
      </c>
      <c r="F779" s="12">
        <f>DATE(2016,3,12)</f>
        <v>42441</v>
      </c>
      <c r="G779" s="13">
        <v>2006</v>
      </c>
      <c r="H779" s="13">
        <v>1</v>
      </c>
      <c r="I779" s="15" t="s">
        <v>104</v>
      </c>
      <c r="J779" s="15" t="s">
        <v>1904</v>
      </c>
    </row>
    <row r="780" spans="1:35" s="14" customFormat="1" ht="12" customHeight="1" x14ac:dyDescent="0.25">
      <c r="A780" s="9">
        <v>778</v>
      </c>
      <c r="B780" s="14" t="s">
        <v>1905</v>
      </c>
      <c r="C780" s="14" t="s">
        <v>1906</v>
      </c>
      <c r="D780" s="13" t="s">
        <v>36</v>
      </c>
      <c r="E780" s="15" t="str">
        <f>B780</f>
        <v>Ifosfamide</v>
      </c>
      <c r="F780" s="12">
        <f>DATE(2018,4,16)</f>
        <v>43206</v>
      </c>
      <c r="G780" s="13">
        <v>1988</v>
      </c>
      <c r="H780" s="13">
        <v>1</v>
      </c>
      <c r="I780" s="15" t="s">
        <v>24</v>
      </c>
      <c r="J780" s="15" t="s">
        <v>132</v>
      </c>
    </row>
    <row r="781" spans="1:35" s="14" customFormat="1" ht="12" customHeight="1" x14ac:dyDescent="0.25">
      <c r="A781" s="9">
        <v>779</v>
      </c>
      <c r="B781" s="14" t="s">
        <v>1907</v>
      </c>
      <c r="C781" s="14" t="s">
        <v>1908</v>
      </c>
      <c r="D781" s="13" t="s">
        <v>31</v>
      </c>
      <c r="E781" s="15" t="str">
        <f>B781</f>
        <v>Iloperidone</v>
      </c>
      <c r="F781" s="12">
        <f>DATE(2023,6,5)</f>
        <v>45082</v>
      </c>
      <c r="G781" s="13">
        <v>2009</v>
      </c>
      <c r="H781" s="13">
        <v>1</v>
      </c>
      <c r="I781" s="15" t="s">
        <v>100</v>
      </c>
      <c r="J781" s="15" t="s">
        <v>328</v>
      </c>
    </row>
    <row r="782" spans="1:35" s="14" customFormat="1" ht="12" customHeight="1" x14ac:dyDescent="0.25">
      <c r="A782" s="9">
        <v>780</v>
      </c>
      <c r="B782" s="14" t="s">
        <v>1909</v>
      </c>
      <c r="C782" s="14" t="s">
        <v>1910</v>
      </c>
      <c r="D782" s="13" t="s">
        <v>31</v>
      </c>
      <c r="E782" s="15" t="s">
        <v>1474</v>
      </c>
      <c r="F782" s="12">
        <f>DATE(2016,11,29)</f>
        <v>42703</v>
      </c>
      <c r="G782" s="13">
        <v>2004</v>
      </c>
      <c r="H782" s="13">
        <v>1</v>
      </c>
      <c r="I782" s="15" t="s">
        <v>73</v>
      </c>
      <c r="J782" s="15" t="s">
        <v>216</v>
      </c>
    </row>
    <row r="783" spans="1:35" s="14" customFormat="1" ht="12" customHeight="1" x14ac:dyDescent="0.25">
      <c r="A783" s="9">
        <v>781</v>
      </c>
      <c r="B783" s="14" t="s">
        <v>1911</v>
      </c>
      <c r="C783" s="14" t="s">
        <v>1912</v>
      </c>
      <c r="D783" s="13" t="s">
        <v>166</v>
      </c>
      <c r="E783" s="15" t="str">
        <f>B783</f>
        <v>Imatinib</v>
      </c>
      <c r="F783" s="12">
        <f>DATE(2025,7,25)</f>
        <v>45863</v>
      </c>
      <c r="G783" s="13">
        <v>2001</v>
      </c>
      <c r="H783" s="13">
        <v>1</v>
      </c>
      <c r="I783" s="15" t="s">
        <v>24</v>
      </c>
      <c r="J783" s="15" t="s">
        <v>596</v>
      </c>
    </row>
    <row r="784" spans="1:35" s="14" customFormat="1" ht="12" customHeight="1" x14ac:dyDescent="0.25">
      <c r="A784" s="9">
        <v>782</v>
      </c>
      <c r="B784" s="24" t="s">
        <v>1913</v>
      </c>
      <c r="C784" s="14" t="s">
        <v>762</v>
      </c>
      <c r="D784" s="25" t="s">
        <v>31</v>
      </c>
      <c r="E784" s="15" t="s">
        <v>464</v>
      </c>
      <c r="F784" s="12">
        <v>44592</v>
      </c>
      <c r="G784" s="16">
        <v>2021</v>
      </c>
      <c r="H784" s="13">
        <v>1</v>
      </c>
      <c r="I784" s="26" t="s">
        <v>15</v>
      </c>
      <c r="J784" s="26" t="s">
        <v>465</v>
      </c>
    </row>
    <row r="785" spans="1:35" s="14" customFormat="1" ht="12" customHeight="1" x14ac:dyDescent="0.25">
      <c r="A785" s="9">
        <v>783</v>
      </c>
      <c r="B785" s="15" t="s">
        <v>1914</v>
      </c>
      <c r="C785" s="14" t="s">
        <v>1915</v>
      </c>
      <c r="D785" s="13" t="s">
        <v>31</v>
      </c>
      <c r="E785" s="15" t="s">
        <v>1914</v>
      </c>
      <c r="F785" s="12">
        <f>DATE(2024,10,5)</f>
        <v>45570</v>
      </c>
      <c r="G785" s="13">
        <v>2024</v>
      </c>
      <c r="H785" s="13">
        <v>1</v>
      </c>
      <c r="I785" s="15" t="s">
        <v>1916</v>
      </c>
      <c r="J785" s="15" t="s">
        <v>1917</v>
      </c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s="14" customFormat="1" ht="12" customHeight="1" x14ac:dyDescent="0.25">
      <c r="A786" s="9">
        <v>784</v>
      </c>
      <c r="B786" s="15" t="s">
        <v>1918</v>
      </c>
      <c r="C786" s="15" t="s">
        <v>1919</v>
      </c>
      <c r="D786" s="13" t="s">
        <v>31</v>
      </c>
      <c r="E786" s="15" t="s">
        <v>1801</v>
      </c>
      <c r="F786" s="12">
        <f>DATE(2018,3,5)</f>
        <v>43164</v>
      </c>
      <c r="G786" s="13">
        <v>1995</v>
      </c>
      <c r="H786" s="13">
        <v>1</v>
      </c>
      <c r="I786" s="15" t="s">
        <v>104</v>
      </c>
      <c r="J786" s="15" t="s">
        <v>155</v>
      </c>
    </row>
    <row r="787" spans="1:35" s="14" customFormat="1" ht="12" customHeight="1" x14ac:dyDescent="0.25">
      <c r="A787" s="9">
        <v>785</v>
      </c>
      <c r="B787" s="14" t="s">
        <v>1920</v>
      </c>
      <c r="C787" s="14" t="s">
        <v>1921</v>
      </c>
      <c r="D787" s="13" t="s">
        <v>36</v>
      </c>
      <c r="E787" s="15" t="str">
        <f>B787</f>
        <v>Imipenem</v>
      </c>
      <c r="F787" s="12">
        <f>DATE(2017,1,15)</f>
        <v>42750</v>
      </c>
      <c r="G787" s="13">
        <v>1985</v>
      </c>
      <c r="H787" s="13">
        <v>1</v>
      </c>
      <c r="I787" s="15" t="s">
        <v>15</v>
      </c>
      <c r="J787" s="15" t="s">
        <v>225</v>
      </c>
    </row>
    <row r="788" spans="1:35" s="14" customFormat="1" ht="12" customHeight="1" x14ac:dyDescent="0.25">
      <c r="A788" s="9">
        <v>786</v>
      </c>
      <c r="B788" s="14" t="s">
        <v>1922</v>
      </c>
      <c r="C788" s="14" t="s">
        <v>1923</v>
      </c>
      <c r="D788" s="13" t="s">
        <v>44</v>
      </c>
      <c r="E788" s="15" t="str">
        <f>B788</f>
        <v>Imipramine</v>
      </c>
      <c r="F788" s="12">
        <f>DATE(2018,4,24)</f>
        <v>43214</v>
      </c>
      <c r="G788" s="13">
        <v>1959</v>
      </c>
      <c r="H788" s="13">
        <v>1</v>
      </c>
      <c r="I788" s="15" t="s">
        <v>100</v>
      </c>
      <c r="J788" s="15" t="s">
        <v>250</v>
      </c>
    </row>
    <row r="789" spans="1:35" s="14" customFormat="1" ht="12" customHeight="1" x14ac:dyDescent="0.3">
      <c r="A789" s="9">
        <v>787</v>
      </c>
      <c r="B789" s="14" t="s">
        <v>1924</v>
      </c>
      <c r="C789" s="14" t="s">
        <v>1925</v>
      </c>
      <c r="D789" s="13" t="s">
        <v>77</v>
      </c>
      <c r="E789" s="14" t="s">
        <v>1924</v>
      </c>
      <c r="F789" s="9"/>
      <c r="G789" s="13">
        <v>2025</v>
      </c>
      <c r="H789" s="16">
        <v>0</v>
      </c>
      <c r="I789" s="14" t="s">
        <v>24</v>
      </c>
      <c r="J789" s="14" t="s">
        <v>25</v>
      </c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</row>
    <row r="790" spans="1:35" s="14" customFormat="1" ht="12" customHeight="1" x14ac:dyDescent="0.25">
      <c r="A790" s="9">
        <v>788</v>
      </c>
      <c r="B790" s="14" t="s">
        <v>1926</v>
      </c>
      <c r="C790" s="14" t="s">
        <v>1927</v>
      </c>
      <c r="D790" s="13" t="s">
        <v>23</v>
      </c>
      <c r="E790" s="14" t="s">
        <v>1926</v>
      </c>
      <c r="F790" s="12">
        <f>DATE(2025,4,5)</f>
        <v>45752</v>
      </c>
      <c r="G790" s="13">
        <v>2024</v>
      </c>
      <c r="H790" s="13">
        <v>1</v>
      </c>
      <c r="I790" s="14" t="s">
        <v>24</v>
      </c>
      <c r="J790" s="14" t="s">
        <v>25</v>
      </c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s="14" customFormat="1" ht="12" customHeight="1" x14ac:dyDescent="0.25">
      <c r="A791" s="9">
        <v>789</v>
      </c>
      <c r="B791" s="14" t="s">
        <v>1928</v>
      </c>
      <c r="C791" s="14" t="s">
        <v>1929</v>
      </c>
      <c r="D791" s="13" t="s">
        <v>31</v>
      </c>
      <c r="E791" s="15" t="s">
        <v>1928</v>
      </c>
      <c r="F791" s="12">
        <f>DATE(2023,1,6)</f>
        <v>44932</v>
      </c>
      <c r="G791" s="16">
        <v>2021</v>
      </c>
      <c r="H791" s="13">
        <v>1</v>
      </c>
      <c r="I791" s="15" t="s">
        <v>49</v>
      </c>
      <c r="J791" s="15" t="s">
        <v>1930</v>
      </c>
    </row>
    <row r="792" spans="1:35" s="14" customFormat="1" ht="12" customHeight="1" x14ac:dyDescent="0.25">
      <c r="A792" s="9">
        <v>790</v>
      </c>
      <c r="B792" s="14" t="s">
        <v>1931</v>
      </c>
      <c r="C792" s="14" t="s">
        <v>1932</v>
      </c>
      <c r="D792" s="13" t="s">
        <v>36</v>
      </c>
      <c r="E792" s="15" t="s">
        <v>507</v>
      </c>
      <c r="F792" s="12">
        <f>DATE(2021,10,13)</f>
        <v>44482</v>
      </c>
      <c r="G792" s="13">
        <v>1983</v>
      </c>
      <c r="H792" s="13">
        <v>1</v>
      </c>
      <c r="I792" s="15" t="s">
        <v>49</v>
      </c>
      <c r="J792" s="15" t="s">
        <v>59</v>
      </c>
    </row>
    <row r="793" spans="1:35" s="14" customFormat="1" ht="12" customHeight="1" x14ac:dyDescent="0.25">
      <c r="A793" s="9">
        <v>791</v>
      </c>
      <c r="B793" s="14" t="s">
        <v>1933</v>
      </c>
      <c r="C793" s="14" t="s">
        <v>1934</v>
      </c>
      <c r="D793" s="13" t="s">
        <v>14</v>
      </c>
      <c r="E793" s="15" t="str">
        <f>B793</f>
        <v>Indinavir</v>
      </c>
      <c r="F793" s="12">
        <f>DATE(2017,9,1)</f>
        <v>42979</v>
      </c>
      <c r="G793" s="13">
        <v>1996</v>
      </c>
      <c r="H793" s="13">
        <v>1</v>
      </c>
      <c r="I793" s="15" t="s">
        <v>15</v>
      </c>
      <c r="J793" s="15" t="s">
        <v>16</v>
      </c>
    </row>
    <row r="794" spans="1:35" s="14" customFormat="1" ht="12" customHeight="1" x14ac:dyDescent="0.25">
      <c r="A794" s="9">
        <v>792</v>
      </c>
      <c r="B794" s="14" t="s">
        <v>1935</v>
      </c>
      <c r="C794" s="14" t="s">
        <v>1936</v>
      </c>
      <c r="D794" s="13" t="s">
        <v>14</v>
      </c>
      <c r="E794" s="15" t="str">
        <f>B794</f>
        <v>Indomethacin</v>
      </c>
      <c r="F794" s="12">
        <f>DATE(2025,8,5)</f>
        <v>45874</v>
      </c>
      <c r="G794" s="13">
        <v>1965</v>
      </c>
      <c r="H794" s="13">
        <v>1</v>
      </c>
      <c r="I794" s="15" t="s">
        <v>54</v>
      </c>
      <c r="J794" s="15" t="s">
        <v>55</v>
      </c>
    </row>
    <row r="795" spans="1:35" s="14" customFormat="1" ht="12" customHeight="1" x14ac:dyDescent="0.25">
      <c r="A795" s="9">
        <v>793</v>
      </c>
      <c r="B795" s="14" t="s">
        <v>1937</v>
      </c>
      <c r="C795" s="14" t="s">
        <v>1938</v>
      </c>
      <c r="D795" s="13" t="s">
        <v>31</v>
      </c>
      <c r="E795" s="15" t="s">
        <v>1937</v>
      </c>
      <c r="F795" s="12">
        <f>DATE(2024,5,14)</f>
        <v>45426</v>
      </c>
      <c r="G795" s="16">
        <v>2020</v>
      </c>
      <c r="H795" s="13">
        <v>1</v>
      </c>
      <c r="I795" s="15" t="s">
        <v>100</v>
      </c>
      <c r="J795" s="15" t="s">
        <v>1939</v>
      </c>
    </row>
    <row r="796" spans="1:35" s="14" customFormat="1" ht="12" customHeight="1" x14ac:dyDescent="0.25">
      <c r="A796" s="9">
        <v>794</v>
      </c>
      <c r="B796" s="14" t="s">
        <v>1940</v>
      </c>
      <c r="C796" s="14" t="s">
        <v>1941</v>
      </c>
      <c r="D796" s="13" t="s">
        <v>23</v>
      </c>
      <c r="E796" s="15" t="s">
        <v>1940</v>
      </c>
      <c r="F796" s="12">
        <f>DATE(2022,11,30)</f>
        <v>44895</v>
      </c>
      <c r="G796" s="16">
        <v>2021</v>
      </c>
      <c r="H796" s="13">
        <v>1</v>
      </c>
      <c r="I796" s="15" t="s">
        <v>24</v>
      </c>
      <c r="J796" s="15" t="s">
        <v>1942</v>
      </c>
    </row>
    <row r="797" spans="1:35" s="14" customFormat="1" ht="12" customHeight="1" x14ac:dyDescent="0.25">
      <c r="A797" s="9">
        <v>795</v>
      </c>
      <c r="B797" s="14" t="s">
        <v>1943</v>
      </c>
      <c r="C797" s="14" t="s">
        <v>1944</v>
      </c>
      <c r="D797" s="13" t="s">
        <v>166</v>
      </c>
      <c r="E797" s="15" t="str">
        <f>B797</f>
        <v>Infliximab</v>
      </c>
      <c r="F797" s="12">
        <f>DATE(2017,2,5)</f>
        <v>42771</v>
      </c>
      <c r="G797" s="13">
        <v>1998</v>
      </c>
      <c r="H797" s="13">
        <v>1</v>
      </c>
      <c r="I797" s="15" t="s">
        <v>19</v>
      </c>
      <c r="J797" s="15" t="s">
        <v>94</v>
      </c>
    </row>
    <row r="798" spans="1:35" s="14" customFormat="1" ht="12" customHeight="1" x14ac:dyDescent="0.25">
      <c r="A798" s="9">
        <v>796</v>
      </c>
      <c r="B798" s="14" t="s">
        <v>1945</v>
      </c>
      <c r="C798" s="14" t="s">
        <v>1946</v>
      </c>
      <c r="D798" s="13" t="s">
        <v>166</v>
      </c>
      <c r="E798" s="15" t="str">
        <f>B798</f>
        <v>Inotuzumab Ozogamicin</v>
      </c>
      <c r="F798" s="12">
        <f>DATE(2024,1,30)</f>
        <v>45321</v>
      </c>
      <c r="G798" s="13">
        <v>2017</v>
      </c>
      <c r="H798" s="13">
        <v>1</v>
      </c>
      <c r="I798" s="15" t="s">
        <v>24</v>
      </c>
      <c r="J798" s="15" t="s">
        <v>1947</v>
      </c>
    </row>
    <row r="799" spans="1:35" s="14" customFormat="1" ht="12" customHeight="1" x14ac:dyDescent="0.25">
      <c r="A799" s="9">
        <v>797</v>
      </c>
      <c r="B799" s="14" t="s">
        <v>1948</v>
      </c>
      <c r="C799" s="14" t="s">
        <v>1949</v>
      </c>
      <c r="D799" s="13" t="s">
        <v>53</v>
      </c>
      <c r="E799" s="15" t="str">
        <f>B799</f>
        <v>Insulin</v>
      </c>
      <c r="F799" s="12">
        <f>DATE(2018,4,30)</f>
        <v>43220</v>
      </c>
      <c r="G799" s="13" t="s">
        <v>240</v>
      </c>
      <c r="H799" s="13">
        <v>1</v>
      </c>
      <c r="I799" s="15" t="s">
        <v>45</v>
      </c>
      <c r="J799" s="15" t="s">
        <v>291</v>
      </c>
    </row>
    <row r="800" spans="1:35" s="14" customFormat="1" ht="12" customHeight="1" x14ac:dyDescent="0.25">
      <c r="A800" s="9">
        <v>798</v>
      </c>
      <c r="B800" s="14" t="s">
        <v>1950</v>
      </c>
      <c r="C800" s="14" t="s">
        <v>1951</v>
      </c>
      <c r="D800" s="13" t="s">
        <v>166</v>
      </c>
      <c r="E800" s="15" t="s">
        <v>1952</v>
      </c>
      <c r="F800" s="12">
        <f>DATE(2018,5,5)</f>
        <v>43225</v>
      </c>
      <c r="G800" s="13">
        <v>1986</v>
      </c>
      <c r="H800" s="13">
        <v>1</v>
      </c>
      <c r="I800" s="15" t="s">
        <v>15</v>
      </c>
      <c r="J800" s="15" t="s">
        <v>1953</v>
      </c>
    </row>
    <row r="801" spans="1:35" s="14" customFormat="1" ht="12" customHeight="1" x14ac:dyDescent="0.25">
      <c r="A801" s="9">
        <v>799</v>
      </c>
      <c r="B801" s="14" t="s">
        <v>1954</v>
      </c>
      <c r="C801" s="14" t="s">
        <v>1955</v>
      </c>
      <c r="D801" s="13" t="s">
        <v>166</v>
      </c>
      <c r="E801" s="15" t="s">
        <v>1956</v>
      </c>
      <c r="F801" s="12">
        <f>DATE(2025,8,20)</f>
        <v>45889</v>
      </c>
      <c r="G801" s="13">
        <v>1993</v>
      </c>
      <c r="H801" s="13">
        <v>1</v>
      </c>
      <c r="I801" s="15" t="s">
        <v>100</v>
      </c>
      <c r="J801" s="15" t="s">
        <v>1076</v>
      </c>
    </row>
    <row r="802" spans="1:35" s="14" customFormat="1" ht="12" customHeight="1" x14ac:dyDescent="0.25">
      <c r="A802" s="9">
        <v>800</v>
      </c>
      <c r="B802" s="14" t="s">
        <v>1957</v>
      </c>
      <c r="C802" s="14" t="s">
        <v>1958</v>
      </c>
      <c r="D802" s="13" t="s">
        <v>31</v>
      </c>
      <c r="E802" s="15" t="str">
        <f>B802</f>
        <v>Interferon gamma</v>
      </c>
      <c r="F802" s="12">
        <f>DATE(2018,5,5)</f>
        <v>43225</v>
      </c>
      <c r="G802" s="13">
        <v>1999</v>
      </c>
      <c r="H802" s="13">
        <v>1</v>
      </c>
      <c r="I802" s="15" t="s">
        <v>104</v>
      </c>
      <c r="J802" s="15" t="s">
        <v>1959</v>
      </c>
    </row>
    <row r="803" spans="1:35" s="14" customFormat="1" ht="12" customHeight="1" x14ac:dyDescent="0.25">
      <c r="A803" s="9">
        <v>801</v>
      </c>
      <c r="B803" s="14" t="s">
        <v>1960</v>
      </c>
      <c r="C803" s="14" t="s">
        <v>335</v>
      </c>
      <c r="D803" s="13" t="s">
        <v>31</v>
      </c>
      <c r="E803" s="15" t="s">
        <v>688</v>
      </c>
      <c r="F803" s="12">
        <f>DATE(2019,6,5)</f>
        <v>43621</v>
      </c>
      <c r="G803" s="13" t="s">
        <v>174</v>
      </c>
      <c r="H803" s="13">
        <v>1</v>
      </c>
      <c r="I803" s="15" t="s">
        <v>66</v>
      </c>
      <c r="J803" s="15" t="s">
        <v>1961</v>
      </c>
    </row>
    <row r="804" spans="1:35" s="14" customFormat="1" ht="12" customHeight="1" x14ac:dyDescent="0.25">
      <c r="A804" s="9">
        <v>802</v>
      </c>
      <c r="B804" s="14" t="s">
        <v>1962</v>
      </c>
      <c r="C804" s="14" t="s">
        <v>1963</v>
      </c>
      <c r="D804" s="13" t="s">
        <v>166</v>
      </c>
      <c r="E804" s="15" t="str">
        <f>B804</f>
        <v>Ipilimumab</v>
      </c>
      <c r="F804" s="12">
        <f>DATE(2022,6,23)</f>
        <v>44735</v>
      </c>
      <c r="G804" s="13">
        <v>2011</v>
      </c>
      <c r="H804" s="13">
        <v>1</v>
      </c>
      <c r="I804" s="15" t="s">
        <v>24</v>
      </c>
      <c r="J804" s="15" t="s">
        <v>207</v>
      </c>
    </row>
    <row r="805" spans="1:35" s="14" customFormat="1" ht="12" customHeight="1" x14ac:dyDescent="0.25">
      <c r="A805" s="9">
        <v>803</v>
      </c>
      <c r="B805" s="14" t="s">
        <v>1964</v>
      </c>
      <c r="C805" s="14" t="s">
        <v>1965</v>
      </c>
      <c r="D805" s="13" t="s">
        <v>31</v>
      </c>
      <c r="E805" s="15" t="str">
        <f>B805</f>
        <v>Ipratropium</v>
      </c>
      <c r="F805" s="12">
        <f>DATE(2017,2,16)</f>
        <v>42782</v>
      </c>
      <c r="G805" s="13">
        <v>1986</v>
      </c>
      <c r="H805" s="13">
        <v>1</v>
      </c>
      <c r="I805" s="15" t="s">
        <v>73</v>
      </c>
      <c r="J805" s="15" t="s">
        <v>74</v>
      </c>
    </row>
    <row r="806" spans="1:35" s="14" customFormat="1" ht="12" customHeight="1" x14ac:dyDescent="0.25">
      <c r="A806" s="9">
        <v>804</v>
      </c>
      <c r="B806" s="14" t="s">
        <v>1966</v>
      </c>
      <c r="C806" s="14" t="s">
        <v>1967</v>
      </c>
      <c r="D806" s="13" t="s">
        <v>166</v>
      </c>
      <c r="E806" s="15"/>
      <c r="F806" s="12"/>
      <c r="G806" s="13" t="s">
        <v>63</v>
      </c>
      <c r="H806" s="13">
        <v>0</v>
      </c>
      <c r="I806" s="15" t="s">
        <v>100</v>
      </c>
      <c r="J806" s="15" t="s">
        <v>250</v>
      </c>
    </row>
    <row r="807" spans="1:35" s="14" customFormat="1" ht="12" customHeight="1" x14ac:dyDescent="0.25">
      <c r="A807" s="9">
        <v>805</v>
      </c>
      <c r="B807" s="14" t="s">
        <v>1968</v>
      </c>
      <c r="C807" s="14" t="s">
        <v>1969</v>
      </c>
      <c r="D807" s="13" t="s">
        <v>77</v>
      </c>
      <c r="E807" s="14" t="s">
        <v>1968</v>
      </c>
      <c r="F807" s="12"/>
      <c r="G807" s="13">
        <v>2023</v>
      </c>
      <c r="H807" s="13">
        <v>0</v>
      </c>
      <c r="I807" s="15" t="s">
        <v>24</v>
      </c>
      <c r="J807" s="15" t="s">
        <v>1259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s="14" customFormat="1" ht="12" customHeight="1" x14ac:dyDescent="0.25">
      <c r="A808" s="9">
        <v>806</v>
      </c>
      <c r="B808" s="14" t="s">
        <v>1970</v>
      </c>
      <c r="C808" s="14" t="s">
        <v>1971</v>
      </c>
      <c r="D808" s="13" t="s">
        <v>14</v>
      </c>
      <c r="E808" s="15" t="str">
        <f>B808</f>
        <v>Irbesartan</v>
      </c>
      <c r="F808" s="12">
        <f>DATE(2017,1,13)</f>
        <v>42748</v>
      </c>
      <c r="G808" s="13">
        <v>1997</v>
      </c>
      <c r="H808" s="13">
        <v>1</v>
      </c>
      <c r="I808" s="15" t="s">
        <v>49</v>
      </c>
      <c r="J808" s="15" t="s">
        <v>50</v>
      </c>
    </row>
    <row r="809" spans="1:35" s="14" customFormat="1" ht="12" customHeight="1" x14ac:dyDescent="0.25">
      <c r="A809" s="9">
        <v>807</v>
      </c>
      <c r="B809" s="14" t="s">
        <v>1972</v>
      </c>
      <c r="C809" s="14" t="s">
        <v>1973</v>
      </c>
      <c r="D809" s="13" t="s">
        <v>44</v>
      </c>
      <c r="E809" s="15" t="str">
        <f>B809</f>
        <v>Irinotecan</v>
      </c>
      <c r="F809" s="12">
        <f>DATE(2018,5,1)</f>
        <v>43221</v>
      </c>
      <c r="G809" s="13">
        <v>1996</v>
      </c>
      <c r="H809" s="13">
        <v>1</v>
      </c>
      <c r="I809" s="15" t="s">
        <v>24</v>
      </c>
      <c r="J809" s="15" t="s">
        <v>207</v>
      </c>
    </row>
    <row r="810" spans="1:35" s="14" customFormat="1" ht="12" customHeight="1" x14ac:dyDescent="0.25">
      <c r="A810" s="9">
        <v>808</v>
      </c>
      <c r="B810" s="14" t="s">
        <v>1610</v>
      </c>
      <c r="C810" s="14" t="s">
        <v>1974</v>
      </c>
      <c r="D810" s="13" t="s">
        <v>53</v>
      </c>
      <c r="E810" s="15" t="str">
        <f>B810</f>
        <v>Iron</v>
      </c>
      <c r="F810" s="12">
        <f>DATE(2018,5,5)</f>
        <v>43225</v>
      </c>
      <c r="G810" s="13">
        <v>1996</v>
      </c>
      <c r="H810" s="13">
        <v>1</v>
      </c>
      <c r="I810" s="15" t="s">
        <v>190</v>
      </c>
      <c r="J810" s="15" t="s">
        <v>1102</v>
      </c>
    </row>
    <row r="811" spans="1:35" s="14" customFormat="1" ht="12" customHeight="1" x14ac:dyDescent="0.25">
      <c r="A811" s="9">
        <v>809</v>
      </c>
      <c r="B811" s="14" t="s">
        <v>1975</v>
      </c>
      <c r="C811" s="14" t="s">
        <v>1976</v>
      </c>
      <c r="D811" s="13" t="s">
        <v>31</v>
      </c>
      <c r="E811" s="15" t="s">
        <v>1975</v>
      </c>
      <c r="F811" s="12">
        <f>DATE(2024,5,14)</f>
        <v>45426</v>
      </c>
      <c r="G811" s="16">
        <v>2020</v>
      </c>
      <c r="H811" s="13">
        <v>1</v>
      </c>
      <c r="I811" s="15" t="s">
        <v>24</v>
      </c>
      <c r="J811" s="15" t="s">
        <v>601</v>
      </c>
    </row>
    <row r="812" spans="1:35" s="14" customFormat="1" ht="12" customHeight="1" x14ac:dyDescent="0.25">
      <c r="A812" s="9">
        <v>810</v>
      </c>
      <c r="B812" s="14" t="s">
        <v>1977</v>
      </c>
      <c r="C812" s="14" t="s">
        <v>1978</v>
      </c>
      <c r="D812" s="13" t="s">
        <v>23</v>
      </c>
      <c r="E812" s="15" t="str">
        <f>B812</f>
        <v>Isavuconazonium</v>
      </c>
      <c r="F812" s="12">
        <f>DATE(2018,4,27)</f>
        <v>43217</v>
      </c>
      <c r="G812" s="13">
        <v>2015</v>
      </c>
      <c r="H812" s="13">
        <v>1</v>
      </c>
      <c r="I812" s="15" t="s">
        <v>15</v>
      </c>
      <c r="J812" s="15" t="s">
        <v>271</v>
      </c>
    </row>
    <row r="813" spans="1:35" s="14" customFormat="1" ht="12" customHeight="1" x14ac:dyDescent="0.25">
      <c r="A813" s="9">
        <v>811</v>
      </c>
      <c r="B813" s="14" t="s">
        <v>1979</v>
      </c>
      <c r="C813" s="14" t="s">
        <v>1980</v>
      </c>
      <c r="D813" s="13" t="s">
        <v>23</v>
      </c>
      <c r="E813" s="15" t="str">
        <f>B813</f>
        <v>Isocarboxazid</v>
      </c>
      <c r="F813" s="12">
        <f>DATE(2020,4,8)</f>
        <v>43929</v>
      </c>
      <c r="G813" s="13">
        <v>1959</v>
      </c>
      <c r="H813" s="13">
        <v>1</v>
      </c>
      <c r="I813" s="15" t="s">
        <v>100</v>
      </c>
      <c r="J813" s="15" t="s">
        <v>250</v>
      </c>
    </row>
    <row r="814" spans="1:35" s="14" customFormat="1" ht="12" customHeight="1" x14ac:dyDescent="0.25">
      <c r="A814" s="9">
        <v>812</v>
      </c>
      <c r="B814" s="14" t="s">
        <v>1981</v>
      </c>
      <c r="C814" s="14" t="s">
        <v>1982</v>
      </c>
      <c r="D814" s="13" t="s">
        <v>44</v>
      </c>
      <c r="E814" s="15" t="str">
        <f>B814</f>
        <v>Isoflurane</v>
      </c>
      <c r="F814" s="12">
        <f>DATE(2018,1,1)</f>
        <v>43101</v>
      </c>
      <c r="G814" s="13">
        <v>1979</v>
      </c>
      <c r="H814" s="13">
        <v>1</v>
      </c>
      <c r="I814" s="15" t="s">
        <v>100</v>
      </c>
      <c r="J814" s="15" t="s">
        <v>1162</v>
      </c>
    </row>
    <row r="815" spans="1:35" s="14" customFormat="1" ht="12" customHeight="1" x14ac:dyDescent="0.25">
      <c r="A815" s="9">
        <v>813</v>
      </c>
      <c r="B815" s="14" t="s">
        <v>1983</v>
      </c>
      <c r="C815" s="14" t="s">
        <v>1984</v>
      </c>
      <c r="D815" s="13" t="s">
        <v>77</v>
      </c>
      <c r="E815" s="15"/>
      <c r="F815" s="12"/>
      <c r="G815" s="13" t="s">
        <v>174</v>
      </c>
      <c r="H815" s="13">
        <v>0</v>
      </c>
      <c r="I815" s="15" t="s">
        <v>100</v>
      </c>
      <c r="J815" s="15" t="s">
        <v>171</v>
      </c>
    </row>
    <row r="816" spans="1:35" s="14" customFormat="1" ht="12" customHeight="1" x14ac:dyDescent="0.25">
      <c r="A816" s="9">
        <v>814</v>
      </c>
      <c r="B816" s="14" t="s">
        <v>1985</v>
      </c>
      <c r="C816" s="14" t="s">
        <v>1986</v>
      </c>
      <c r="D816" s="13" t="s">
        <v>166</v>
      </c>
      <c r="E816" s="15" t="str">
        <f>B816</f>
        <v>Isoniazid</v>
      </c>
      <c r="F816" s="12">
        <f>DATE(2025,8,20)</f>
        <v>45889</v>
      </c>
      <c r="G816" s="13">
        <v>1974</v>
      </c>
      <c r="H816" s="13">
        <v>1</v>
      </c>
      <c r="I816" s="15" t="s">
        <v>15</v>
      </c>
      <c r="J816" s="15" t="s">
        <v>241</v>
      </c>
    </row>
    <row r="817" spans="1:10" s="14" customFormat="1" ht="12" customHeight="1" x14ac:dyDescent="0.25">
      <c r="A817" s="9">
        <v>815</v>
      </c>
      <c r="B817" s="14" t="s">
        <v>1987</v>
      </c>
      <c r="C817" s="14" t="s">
        <v>1988</v>
      </c>
      <c r="D817" s="13" t="s">
        <v>31</v>
      </c>
      <c r="E817" s="15" t="s">
        <v>1989</v>
      </c>
      <c r="F817" s="12">
        <f>DATE(2018,5,1)</f>
        <v>43221</v>
      </c>
      <c r="G817" s="13">
        <v>1970</v>
      </c>
      <c r="H817" s="13">
        <v>1</v>
      </c>
      <c r="I817" s="15" t="s">
        <v>49</v>
      </c>
      <c r="J817" s="15" t="s">
        <v>1990</v>
      </c>
    </row>
    <row r="818" spans="1:10" s="14" customFormat="1" ht="12" customHeight="1" x14ac:dyDescent="0.25">
      <c r="A818" s="9">
        <v>816</v>
      </c>
      <c r="B818" s="14" t="s">
        <v>1991</v>
      </c>
      <c r="C818" s="14" t="s">
        <v>1992</v>
      </c>
      <c r="D818" s="13" t="s">
        <v>31</v>
      </c>
      <c r="E818" s="15" t="s">
        <v>1989</v>
      </c>
      <c r="F818" s="12">
        <f>DATE(2018,5,1)</f>
        <v>43221</v>
      </c>
      <c r="G818" s="13">
        <v>1993</v>
      </c>
      <c r="H818" s="13">
        <v>1</v>
      </c>
      <c r="I818" s="15" t="s">
        <v>49</v>
      </c>
      <c r="J818" s="15" t="s">
        <v>1990</v>
      </c>
    </row>
    <row r="819" spans="1:10" s="14" customFormat="1" ht="12" customHeight="1" x14ac:dyDescent="0.25">
      <c r="A819" s="9">
        <v>817</v>
      </c>
      <c r="B819" s="14" t="s">
        <v>1993</v>
      </c>
      <c r="C819" s="14" t="s">
        <v>1994</v>
      </c>
      <c r="D819" s="13" t="s">
        <v>36</v>
      </c>
      <c r="E819" s="15" t="str">
        <f>B819</f>
        <v>Isotretinoin</v>
      </c>
      <c r="F819" s="12">
        <f>DATE(2020,11,8)</f>
        <v>44143</v>
      </c>
      <c r="G819" s="13">
        <v>1982</v>
      </c>
      <c r="H819" s="13">
        <v>1</v>
      </c>
      <c r="I819" s="15" t="s">
        <v>32</v>
      </c>
      <c r="J819" s="15" t="s">
        <v>1995</v>
      </c>
    </row>
    <row r="820" spans="1:10" s="14" customFormat="1" ht="12" customHeight="1" x14ac:dyDescent="0.25">
      <c r="A820" s="9">
        <v>818</v>
      </c>
      <c r="B820" s="14" t="s">
        <v>1996</v>
      </c>
      <c r="C820" s="14" t="s">
        <v>1997</v>
      </c>
      <c r="D820" s="13" t="s">
        <v>31</v>
      </c>
      <c r="E820" s="15" t="str">
        <f>B820</f>
        <v>Isradipine</v>
      </c>
      <c r="F820" s="12">
        <f>DATE(2017,1,11)</f>
        <v>42746</v>
      </c>
      <c r="G820" s="13">
        <v>1990</v>
      </c>
      <c r="H820" s="13">
        <v>1</v>
      </c>
      <c r="I820" s="15" t="s">
        <v>49</v>
      </c>
      <c r="J820" s="15" t="s">
        <v>50</v>
      </c>
    </row>
    <row r="821" spans="1:10" s="14" customFormat="1" ht="12" customHeight="1" x14ac:dyDescent="0.25">
      <c r="A821" s="9">
        <v>819</v>
      </c>
      <c r="B821" s="14" t="s">
        <v>1998</v>
      </c>
      <c r="C821" s="14" t="s">
        <v>1999</v>
      </c>
      <c r="D821" s="13" t="s">
        <v>31</v>
      </c>
      <c r="E821" s="15" t="str">
        <f>B821</f>
        <v>Istradefylline</v>
      </c>
      <c r="F821" s="12">
        <f>DATE(2021,10,18)</f>
        <v>44487</v>
      </c>
      <c r="G821" s="13">
        <v>2019</v>
      </c>
      <c r="H821" s="13">
        <v>1</v>
      </c>
      <c r="I821" s="15" t="s">
        <v>100</v>
      </c>
      <c r="J821" s="15" t="s">
        <v>210</v>
      </c>
    </row>
    <row r="822" spans="1:10" s="14" customFormat="1" ht="12" customHeight="1" x14ac:dyDescent="0.25">
      <c r="A822" s="9">
        <v>820</v>
      </c>
      <c r="B822" s="14" t="s">
        <v>2000</v>
      </c>
      <c r="C822" s="14" t="s">
        <v>2001</v>
      </c>
      <c r="D822" s="13" t="s">
        <v>44</v>
      </c>
      <c r="E822" s="15" t="str">
        <f>B822</f>
        <v>Itraconazole</v>
      </c>
      <c r="F822" s="12">
        <f>DATE(2017,5,18)</f>
        <v>42873</v>
      </c>
      <c r="G822" s="13">
        <v>1992</v>
      </c>
      <c r="H822" s="13">
        <v>1</v>
      </c>
      <c r="I822" s="15" t="s">
        <v>15</v>
      </c>
      <c r="J822" s="15" t="s">
        <v>271</v>
      </c>
    </row>
    <row r="823" spans="1:10" s="14" customFormat="1" ht="12" customHeight="1" x14ac:dyDescent="0.25">
      <c r="A823" s="9">
        <v>821</v>
      </c>
      <c r="B823" s="14" t="s">
        <v>2002</v>
      </c>
      <c r="C823" s="14" t="s">
        <v>2003</v>
      </c>
      <c r="D823" s="13" t="s">
        <v>31</v>
      </c>
      <c r="E823" s="15" t="str">
        <f>B823</f>
        <v>Ivabradine</v>
      </c>
      <c r="F823" s="12">
        <f>DATE(2017,4,25)</f>
        <v>42850</v>
      </c>
      <c r="G823" s="13">
        <v>2015</v>
      </c>
      <c r="H823" s="13">
        <v>1</v>
      </c>
      <c r="I823" s="15" t="s">
        <v>49</v>
      </c>
      <c r="J823" s="15" t="s">
        <v>861</v>
      </c>
    </row>
    <row r="824" spans="1:10" s="14" customFormat="1" ht="12" customHeight="1" x14ac:dyDescent="0.25">
      <c r="A824" s="9">
        <v>822</v>
      </c>
      <c r="B824" s="14" t="s">
        <v>2004</v>
      </c>
      <c r="C824" s="14" t="s">
        <v>2005</v>
      </c>
      <c r="D824" s="13" t="s">
        <v>44</v>
      </c>
      <c r="E824" s="15" t="s">
        <v>1189</v>
      </c>
      <c r="F824" s="12">
        <f>DATE(2025,8,28)</f>
        <v>45897</v>
      </c>
      <c r="G824" s="13">
        <v>2012</v>
      </c>
      <c r="H824" s="13">
        <v>1</v>
      </c>
      <c r="I824" s="15" t="s">
        <v>104</v>
      </c>
      <c r="J824" s="15" t="s">
        <v>2006</v>
      </c>
    </row>
    <row r="825" spans="1:10" s="14" customFormat="1" ht="12" customHeight="1" x14ac:dyDescent="0.25">
      <c r="A825" s="9">
        <v>823</v>
      </c>
      <c r="B825" s="14" t="s">
        <v>2007</v>
      </c>
      <c r="C825" s="14" t="s">
        <v>2008</v>
      </c>
      <c r="D825" s="13" t="s">
        <v>36</v>
      </c>
      <c r="E825" s="15" t="str">
        <f t="shared" ref="E825:E830" si="18">B825</f>
        <v>Ivermectin</v>
      </c>
      <c r="F825" s="12">
        <f>DATE(2021,4,9)</f>
        <v>44295</v>
      </c>
      <c r="G825" s="13">
        <v>1996</v>
      </c>
      <c r="H825" s="13">
        <v>1</v>
      </c>
      <c r="I825" s="15" t="s">
        <v>15</v>
      </c>
      <c r="J825" s="15" t="s">
        <v>122</v>
      </c>
    </row>
    <row r="826" spans="1:10" s="14" customFormat="1" ht="12" customHeight="1" x14ac:dyDescent="0.25">
      <c r="A826" s="9">
        <v>824</v>
      </c>
      <c r="B826" s="14" t="s">
        <v>2009</v>
      </c>
      <c r="C826" s="14" t="s">
        <v>2010</v>
      </c>
      <c r="D826" s="13" t="s">
        <v>23</v>
      </c>
      <c r="E826" s="15" t="str">
        <f t="shared" si="18"/>
        <v>Ivosidenib</v>
      </c>
      <c r="F826" s="12">
        <f>DATE(2024,1,6)</f>
        <v>45297</v>
      </c>
      <c r="G826" s="13">
        <v>2018</v>
      </c>
      <c r="H826" s="13">
        <v>1</v>
      </c>
      <c r="I826" s="15" t="s">
        <v>24</v>
      </c>
      <c r="J826" s="15" t="s">
        <v>2011</v>
      </c>
    </row>
    <row r="827" spans="1:10" s="14" customFormat="1" ht="12" customHeight="1" x14ac:dyDescent="0.25">
      <c r="A827" s="9">
        <v>825</v>
      </c>
      <c r="B827" s="14" t="s">
        <v>2012</v>
      </c>
      <c r="C827" s="14" t="s">
        <v>2013</v>
      </c>
      <c r="D827" s="13" t="s">
        <v>23</v>
      </c>
      <c r="E827" s="15" t="str">
        <f t="shared" si="18"/>
        <v>Ixabepilone</v>
      </c>
      <c r="F827" s="12">
        <f>DATE(2021,4,27)</f>
        <v>44313</v>
      </c>
      <c r="G827" s="13">
        <v>2007</v>
      </c>
      <c r="H827" s="13">
        <v>1</v>
      </c>
      <c r="I827" s="15" t="s">
        <v>24</v>
      </c>
      <c r="J827" s="15" t="s">
        <v>284</v>
      </c>
    </row>
    <row r="828" spans="1:10" s="14" customFormat="1" ht="12" customHeight="1" x14ac:dyDescent="0.25">
      <c r="A828" s="9">
        <v>826</v>
      </c>
      <c r="B828" s="14" t="s">
        <v>2014</v>
      </c>
      <c r="C828" s="14" t="s">
        <v>2015</v>
      </c>
      <c r="D828" s="13" t="s">
        <v>23</v>
      </c>
      <c r="E828" s="15" t="str">
        <f t="shared" si="18"/>
        <v>Ixazomib</v>
      </c>
      <c r="F828" s="12">
        <f>DATE(2017,3,8)</f>
        <v>42802</v>
      </c>
      <c r="G828" s="13">
        <v>2015</v>
      </c>
      <c r="H828" s="13">
        <v>1</v>
      </c>
      <c r="I828" s="15" t="s">
        <v>24</v>
      </c>
      <c r="J828" s="15" t="s">
        <v>601</v>
      </c>
    </row>
    <row r="829" spans="1:10" s="14" customFormat="1" ht="12" customHeight="1" x14ac:dyDescent="0.25">
      <c r="A829" s="9">
        <v>827</v>
      </c>
      <c r="B829" s="14" t="s">
        <v>2016</v>
      </c>
      <c r="C829" s="14" t="s">
        <v>2017</v>
      </c>
      <c r="D829" s="13" t="s">
        <v>31</v>
      </c>
      <c r="E829" s="15" t="str">
        <f t="shared" si="18"/>
        <v>Ixekizumab</v>
      </c>
      <c r="F829" s="12">
        <f>DATE(2017,4,3)</f>
        <v>42828</v>
      </c>
      <c r="G829" s="13">
        <v>2016</v>
      </c>
      <c r="H829" s="13">
        <v>1</v>
      </c>
      <c r="I829" s="15" t="s">
        <v>32</v>
      </c>
      <c r="J829" s="15" t="s">
        <v>70</v>
      </c>
    </row>
    <row r="830" spans="1:10" s="14" customFormat="1" ht="12" customHeight="1" x14ac:dyDescent="0.25">
      <c r="A830" s="9">
        <v>828</v>
      </c>
      <c r="B830" s="14" t="s">
        <v>2018</v>
      </c>
      <c r="C830" s="14" t="s">
        <v>335</v>
      </c>
      <c r="D830" s="13" t="s">
        <v>77</v>
      </c>
      <c r="E830" s="15" t="str">
        <f t="shared" si="18"/>
        <v>Jin Bu Huan</v>
      </c>
      <c r="F830" s="12">
        <f>DATE(2018,4,24)</f>
        <v>43214</v>
      </c>
      <c r="G830" s="13" t="s">
        <v>174</v>
      </c>
      <c r="H830" s="13">
        <v>1</v>
      </c>
      <c r="I830" s="15" t="s">
        <v>175</v>
      </c>
      <c r="J830" s="15" t="s">
        <v>2019</v>
      </c>
    </row>
    <row r="831" spans="1:10" s="14" customFormat="1" ht="12" customHeight="1" x14ac:dyDescent="0.25">
      <c r="A831" s="9">
        <v>829</v>
      </c>
      <c r="B831" s="14" t="s">
        <v>2020</v>
      </c>
      <c r="C831" s="14" t="s">
        <v>188</v>
      </c>
      <c r="D831" s="13" t="s">
        <v>166</v>
      </c>
      <c r="E831" s="15" t="s">
        <v>2021</v>
      </c>
      <c r="F831" s="12">
        <f>DATE(2018,4,10)</f>
        <v>43200</v>
      </c>
      <c r="G831" s="13" t="s">
        <v>174</v>
      </c>
      <c r="H831" s="13">
        <v>1</v>
      </c>
      <c r="I831" s="15" t="s">
        <v>175</v>
      </c>
      <c r="J831" s="15" t="s">
        <v>204</v>
      </c>
    </row>
    <row r="832" spans="1:10" s="14" customFormat="1" ht="12" customHeight="1" x14ac:dyDescent="0.25">
      <c r="A832" s="9">
        <v>830</v>
      </c>
      <c r="B832" s="14" t="s">
        <v>2022</v>
      </c>
      <c r="C832" s="14" t="s">
        <v>188</v>
      </c>
      <c r="D832" s="13" t="s">
        <v>31</v>
      </c>
      <c r="E832" s="15" t="str">
        <f t="shared" ref="E832:E837" si="19">B832</f>
        <v>Kelp</v>
      </c>
      <c r="F832" s="12">
        <f>DATE(2024,3,10)</f>
        <v>45361</v>
      </c>
      <c r="G832" s="13" t="s">
        <v>174</v>
      </c>
      <c r="H832" s="13">
        <v>1</v>
      </c>
      <c r="I832" s="15" t="s">
        <v>175</v>
      </c>
      <c r="J832" s="15" t="s">
        <v>1462</v>
      </c>
    </row>
    <row r="833" spans="1:35" s="14" customFormat="1" ht="12" customHeight="1" x14ac:dyDescent="0.25">
      <c r="A833" s="9">
        <v>831</v>
      </c>
      <c r="B833" s="14" t="s">
        <v>2023</v>
      </c>
      <c r="C833" s="14" t="s">
        <v>2024</v>
      </c>
      <c r="D833" s="13" t="s">
        <v>44</v>
      </c>
      <c r="E833" s="15" t="str">
        <f t="shared" si="19"/>
        <v>Ketamine</v>
      </c>
      <c r="F833" s="12">
        <f>DATE(2018,4,24)</f>
        <v>43214</v>
      </c>
      <c r="G833" s="13">
        <v>1970</v>
      </c>
      <c r="H833" s="13">
        <v>1</v>
      </c>
      <c r="I833" s="15" t="s">
        <v>100</v>
      </c>
      <c r="J833" s="15" t="s">
        <v>1162</v>
      </c>
    </row>
    <row r="834" spans="1:35" s="14" customFormat="1" ht="12" customHeight="1" x14ac:dyDescent="0.25">
      <c r="A834" s="9">
        <v>832</v>
      </c>
      <c r="B834" s="14" t="s">
        <v>2025</v>
      </c>
      <c r="C834" s="14" t="s">
        <v>2026</v>
      </c>
      <c r="D834" s="13" t="s">
        <v>166</v>
      </c>
      <c r="E834" s="15" t="str">
        <f t="shared" si="19"/>
        <v>Ketoconazole</v>
      </c>
      <c r="F834" s="12">
        <f>DATE(2017,5,17)</f>
        <v>42872</v>
      </c>
      <c r="G834" s="13">
        <v>1981</v>
      </c>
      <c r="H834" s="13">
        <v>1</v>
      </c>
      <c r="I834" s="15" t="s">
        <v>15</v>
      </c>
      <c r="J834" s="15" t="s">
        <v>271</v>
      </c>
    </row>
    <row r="835" spans="1:35" s="14" customFormat="1" ht="12" customHeight="1" x14ac:dyDescent="0.25">
      <c r="A835" s="9">
        <v>833</v>
      </c>
      <c r="B835" s="14" t="s">
        <v>2027</v>
      </c>
      <c r="C835" s="14" t="s">
        <v>2028</v>
      </c>
      <c r="D835" s="13" t="s">
        <v>14</v>
      </c>
      <c r="E835" s="15" t="str">
        <f t="shared" si="19"/>
        <v>Ketoprofen</v>
      </c>
      <c r="F835" s="12">
        <f>DATE(2025,8,10)</f>
        <v>45879</v>
      </c>
      <c r="G835" s="13">
        <v>1986</v>
      </c>
      <c r="H835" s="13">
        <v>1</v>
      </c>
      <c r="I835" s="15" t="s">
        <v>54</v>
      </c>
      <c r="J835" s="15" t="s">
        <v>55</v>
      </c>
    </row>
    <row r="836" spans="1:35" s="14" customFormat="1" ht="12" customHeight="1" x14ac:dyDescent="0.25">
      <c r="A836" s="9">
        <v>834</v>
      </c>
      <c r="B836" s="14" t="s">
        <v>2029</v>
      </c>
      <c r="C836" s="14" t="s">
        <v>2030</v>
      </c>
      <c r="D836" s="13" t="s">
        <v>36</v>
      </c>
      <c r="E836" s="15" t="str">
        <f t="shared" si="19"/>
        <v>Ketorolac</v>
      </c>
      <c r="F836" s="12">
        <f>DATE(2025,8,5)</f>
        <v>45874</v>
      </c>
      <c r="G836" s="13">
        <v>1991</v>
      </c>
      <c r="H836" s="13">
        <v>1</v>
      </c>
      <c r="I836" s="15" t="s">
        <v>54</v>
      </c>
      <c r="J836" s="15" t="s">
        <v>55</v>
      </c>
    </row>
    <row r="837" spans="1:35" s="14" customFormat="1" ht="12" customHeight="1" x14ac:dyDescent="0.25">
      <c r="A837" s="9">
        <v>835</v>
      </c>
      <c r="B837" s="14" t="s">
        <v>2031</v>
      </c>
      <c r="C837" s="14" t="s">
        <v>188</v>
      </c>
      <c r="D837" s="13" t="s">
        <v>44</v>
      </c>
      <c r="E837" s="15" t="str">
        <f t="shared" si="19"/>
        <v>Khat</v>
      </c>
      <c r="F837" s="12">
        <f>DATE(2024,1,29)</f>
        <v>45320</v>
      </c>
      <c r="G837" s="13" t="s">
        <v>174</v>
      </c>
      <c r="H837" s="13">
        <v>1</v>
      </c>
      <c r="I837" s="15" t="s">
        <v>175</v>
      </c>
      <c r="J837" s="15" t="s">
        <v>354</v>
      </c>
    </row>
    <row r="838" spans="1:35" s="14" customFormat="1" ht="12" customHeight="1" x14ac:dyDescent="0.25">
      <c r="A838" s="9">
        <v>836</v>
      </c>
      <c r="B838" s="14" t="s">
        <v>2032</v>
      </c>
      <c r="C838" s="14" t="s">
        <v>188</v>
      </c>
      <c r="D838" s="13" t="s">
        <v>14</v>
      </c>
      <c r="E838" s="15" t="s">
        <v>2033</v>
      </c>
      <c r="F838" s="12">
        <f>DATE(2018,4,26)</f>
        <v>43216</v>
      </c>
      <c r="G838" s="13" t="s">
        <v>174</v>
      </c>
      <c r="H838" s="13">
        <v>1</v>
      </c>
      <c r="I838" s="15" t="s">
        <v>175</v>
      </c>
      <c r="J838" s="15" t="s">
        <v>354</v>
      </c>
    </row>
    <row r="839" spans="1:35" s="14" customFormat="1" ht="12" customHeight="1" x14ac:dyDescent="0.25">
      <c r="A839" s="9">
        <v>837</v>
      </c>
      <c r="B839" s="14" t="s">
        <v>2034</v>
      </c>
      <c r="C839" s="14" t="s">
        <v>335</v>
      </c>
      <c r="D839" s="13" t="s">
        <v>44</v>
      </c>
      <c r="E839" s="15" t="str">
        <f t="shared" ref="E839:E844" si="20">B839</f>
        <v>Kratom</v>
      </c>
      <c r="F839" s="12">
        <f>DATE(2020,4,3)</f>
        <v>43924</v>
      </c>
      <c r="G839" s="13" t="s">
        <v>174</v>
      </c>
      <c r="H839" s="13">
        <v>1</v>
      </c>
      <c r="I839" s="15" t="s">
        <v>175</v>
      </c>
      <c r="J839" s="15" t="s">
        <v>2035</v>
      </c>
    </row>
    <row r="840" spans="1:35" s="14" customFormat="1" ht="12" customHeight="1" x14ac:dyDescent="0.25">
      <c r="A840" s="9">
        <v>838</v>
      </c>
      <c r="B840" s="14" t="s">
        <v>2036</v>
      </c>
      <c r="C840" s="14" t="s">
        <v>2036</v>
      </c>
      <c r="D840" s="13" t="s">
        <v>14</v>
      </c>
      <c r="E840" s="15" t="str">
        <f t="shared" si="20"/>
        <v>Labetalol</v>
      </c>
      <c r="F840" s="12">
        <f>DATE(2019,6,3)</f>
        <v>43619</v>
      </c>
      <c r="G840" s="13">
        <v>1984</v>
      </c>
      <c r="H840" s="13">
        <v>1</v>
      </c>
      <c r="I840" s="15" t="s">
        <v>49</v>
      </c>
      <c r="J840" s="15" t="s">
        <v>50</v>
      </c>
    </row>
    <row r="841" spans="1:35" s="14" customFormat="1" ht="12" customHeight="1" x14ac:dyDescent="0.25">
      <c r="A841" s="9">
        <v>839</v>
      </c>
      <c r="B841" s="14" t="s">
        <v>2037</v>
      </c>
      <c r="C841" s="14" t="s">
        <v>2038</v>
      </c>
      <c r="D841" s="13" t="s">
        <v>36</v>
      </c>
      <c r="E841" s="15" t="str">
        <f t="shared" si="20"/>
        <v>Lacosamide</v>
      </c>
      <c r="F841" s="12">
        <f>DATE(2018,8,5)</f>
        <v>43317</v>
      </c>
      <c r="G841" s="13">
        <v>2008</v>
      </c>
      <c r="H841" s="13">
        <v>1</v>
      </c>
      <c r="I841" s="15" t="s">
        <v>100</v>
      </c>
      <c r="J841" s="15" t="s">
        <v>630</v>
      </c>
    </row>
    <row r="842" spans="1:35" s="14" customFormat="1" ht="12" customHeight="1" x14ac:dyDescent="0.25">
      <c r="A842" s="9">
        <v>840</v>
      </c>
      <c r="B842" s="14" t="s">
        <v>2039</v>
      </c>
      <c r="C842" s="14" t="s">
        <v>2040</v>
      </c>
      <c r="D842" s="13" t="s">
        <v>31</v>
      </c>
      <c r="E842" s="15" t="str">
        <f t="shared" si="20"/>
        <v>Lamivudine</v>
      </c>
      <c r="F842" s="12">
        <f>DATE(2019,4,18)</f>
        <v>43573</v>
      </c>
      <c r="G842" s="13">
        <v>1995</v>
      </c>
      <c r="H842" s="13">
        <v>1</v>
      </c>
      <c r="I842" s="15" t="s">
        <v>15</v>
      </c>
      <c r="J842" s="15" t="s">
        <v>1422</v>
      </c>
    </row>
    <row r="843" spans="1:35" s="14" customFormat="1" ht="12" customHeight="1" x14ac:dyDescent="0.25">
      <c r="A843" s="9">
        <v>841</v>
      </c>
      <c r="B843" s="14" t="s">
        <v>2041</v>
      </c>
      <c r="C843" s="14" t="s">
        <v>2042</v>
      </c>
      <c r="D843" s="13" t="s">
        <v>166</v>
      </c>
      <c r="E843" s="15" t="str">
        <f t="shared" si="20"/>
        <v>Lamotrigine</v>
      </c>
      <c r="F843" s="12">
        <f>DATE(2019,5,8)</f>
        <v>43593</v>
      </c>
      <c r="G843" s="13">
        <v>1994</v>
      </c>
      <c r="H843" s="13">
        <v>1</v>
      </c>
      <c r="I843" s="15" t="s">
        <v>100</v>
      </c>
      <c r="J843" s="15" t="s">
        <v>630</v>
      </c>
    </row>
    <row r="844" spans="1:35" s="14" customFormat="1" ht="12" customHeight="1" x14ac:dyDescent="0.3">
      <c r="A844" s="9">
        <v>842</v>
      </c>
      <c r="B844" s="14" t="s">
        <v>2043</v>
      </c>
      <c r="C844" s="23" t="s">
        <v>2044</v>
      </c>
      <c r="D844" s="13" t="s">
        <v>31</v>
      </c>
      <c r="E844" s="15" t="str">
        <f t="shared" si="20"/>
        <v>Lanadelumab</v>
      </c>
      <c r="F844" s="12">
        <f>DATE(2019,2,5)</f>
        <v>43501</v>
      </c>
      <c r="G844" s="13">
        <v>2018</v>
      </c>
      <c r="H844" s="13">
        <v>1</v>
      </c>
      <c r="I844" s="15" t="s">
        <v>139</v>
      </c>
      <c r="J844" s="15" t="s">
        <v>2045</v>
      </c>
    </row>
    <row r="845" spans="1:35" s="14" customFormat="1" ht="12" customHeight="1" x14ac:dyDescent="0.25">
      <c r="A845" s="9">
        <v>843</v>
      </c>
      <c r="B845" s="14" t="s">
        <v>2046</v>
      </c>
      <c r="C845" s="14" t="s">
        <v>2047</v>
      </c>
      <c r="D845" s="13" t="s">
        <v>77</v>
      </c>
      <c r="E845" s="14" t="s">
        <v>2046</v>
      </c>
      <c r="F845" s="12"/>
      <c r="G845" s="13">
        <v>2024</v>
      </c>
      <c r="H845" s="13">
        <v>0</v>
      </c>
      <c r="I845" s="14" t="s">
        <v>49</v>
      </c>
      <c r="J845" s="14" t="s">
        <v>2048</v>
      </c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s="14" customFormat="1" ht="12" customHeight="1" x14ac:dyDescent="0.25">
      <c r="A846" s="9">
        <v>844</v>
      </c>
      <c r="B846" s="14" t="s">
        <v>2049</v>
      </c>
      <c r="C846" s="14" t="s">
        <v>2050</v>
      </c>
      <c r="D846" s="13" t="s">
        <v>23</v>
      </c>
      <c r="E846" s="15" t="str">
        <f>B846</f>
        <v>Lanreotide</v>
      </c>
      <c r="F846" s="12">
        <f>DATE(2017,4,25)</f>
        <v>42850</v>
      </c>
      <c r="G846" s="13">
        <v>2007</v>
      </c>
      <c r="H846" s="13">
        <v>1</v>
      </c>
      <c r="I846" s="15" t="s">
        <v>45</v>
      </c>
      <c r="J846" s="15" t="s">
        <v>291</v>
      </c>
    </row>
    <row r="847" spans="1:35" s="14" customFormat="1" ht="12" customHeight="1" x14ac:dyDescent="0.25">
      <c r="A847" s="9">
        <v>845</v>
      </c>
      <c r="B847" s="14" t="s">
        <v>1201</v>
      </c>
      <c r="C847" s="14" t="s">
        <v>2051</v>
      </c>
      <c r="D847" s="13" t="s">
        <v>14</v>
      </c>
      <c r="E847" s="15" t="str">
        <f>B847</f>
        <v>Lansoprazole</v>
      </c>
      <c r="F847" s="12">
        <f>DATE(2019,4,15)</f>
        <v>43570</v>
      </c>
      <c r="G847" s="13">
        <v>1995</v>
      </c>
      <c r="H847" s="13">
        <v>1</v>
      </c>
      <c r="I847" s="15" t="s">
        <v>182</v>
      </c>
      <c r="J847" s="15" t="s">
        <v>918</v>
      </c>
    </row>
    <row r="848" spans="1:35" s="14" customFormat="1" ht="12" customHeight="1" x14ac:dyDescent="0.25">
      <c r="A848" s="9">
        <v>846</v>
      </c>
      <c r="B848" s="14" t="s">
        <v>2052</v>
      </c>
      <c r="C848" s="14" t="s">
        <v>2053</v>
      </c>
      <c r="D848" s="13" t="s">
        <v>44</v>
      </c>
      <c r="E848" s="15" t="str">
        <f>B848</f>
        <v>Lapatinib</v>
      </c>
      <c r="F848" s="12">
        <f>DATE(2019,5,14)</f>
        <v>43599</v>
      </c>
      <c r="G848" s="13">
        <v>2007</v>
      </c>
      <c r="H848" s="13">
        <v>1</v>
      </c>
      <c r="I848" s="15" t="s">
        <v>24</v>
      </c>
      <c r="J848" s="15" t="s">
        <v>284</v>
      </c>
    </row>
    <row r="849" spans="1:35" s="14" customFormat="1" ht="12" customHeight="1" x14ac:dyDescent="0.25">
      <c r="A849" s="9">
        <v>847</v>
      </c>
      <c r="B849" s="15" t="s">
        <v>2054</v>
      </c>
      <c r="C849" s="15" t="s">
        <v>2055</v>
      </c>
      <c r="D849" s="13" t="s">
        <v>31</v>
      </c>
      <c r="E849" s="15" t="s">
        <v>118</v>
      </c>
      <c r="F849" s="12">
        <f>DATE(2016,3,12)</f>
        <v>42441</v>
      </c>
      <c r="G849" s="13">
        <v>2003</v>
      </c>
      <c r="H849" s="13">
        <v>1</v>
      </c>
      <c r="I849" s="15" t="s">
        <v>104</v>
      </c>
      <c r="J849" s="15" t="s">
        <v>2056</v>
      </c>
    </row>
    <row r="850" spans="1:35" s="14" customFormat="1" ht="12" customHeight="1" x14ac:dyDescent="0.3">
      <c r="A850" s="9">
        <v>848</v>
      </c>
      <c r="B850" s="14" t="s">
        <v>2057</v>
      </c>
      <c r="C850" s="23" t="s">
        <v>2058</v>
      </c>
      <c r="D850" s="13" t="s">
        <v>23</v>
      </c>
      <c r="E850" s="15" t="str">
        <f>B850</f>
        <v>Larotrectinib</v>
      </c>
      <c r="F850" s="12">
        <f>DATE(2019,4,24)</f>
        <v>43579</v>
      </c>
      <c r="G850" s="13">
        <v>2018</v>
      </c>
      <c r="H850" s="13">
        <v>1</v>
      </c>
      <c r="I850" s="15" t="s">
        <v>24</v>
      </c>
      <c r="J850" s="15" t="s">
        <v>2059</v>
      </c>
    </row>
    <row r="851" spans="1:35" s="14" customFormat="1" ht="12" customHeight="1" x14ac:dyDescent="0.25">
      <c r="A851" s="9">
        <v>849</v>
      </c>
      <c r="B851" s="14" t="s">
        <v>2060</v>
      </c>
      <c r="C851" s="14" t="s">
        <v>2061</v>
      </c>
      <c r="D851" s="13" t="s">
        <v>31</v>
      </c>
      <c r="E851" s="15" t="str">
        <f>B851</f>
        <v>Lasmiditan</v>
      </c>
      <c r="F851" s="12">
        <f>DATE(2021,7,22)</f>
        <v>44399</v>
      </c>
      <c r="G851" s="13">
        <v>2019</v>
      </c>
      <c r="H851" s="13">
        <v>1</v>
      </c>
      <c r="I851" s="15" t="s">
        <v>100</v>
      </c>
      <c r="J851" s="15" t="s">
        <v>171</v>
      </c>
    </row>
    <row r="852" spans="1:35" s="14" customFormat="1" ht="12" customHeight="1" x14ac:dyDescent="0.25">
      <c r="A852" s="9">
        <v>850</v>
      </c>
      <c r="B852" s="14" t="s">
        <v>2062</v>
      </c>
      <c r="C852" s="14" t="s">
        <v>335</v>
      </c>
      <c r="D852" s="13" t="s">
        <v>31</v>
      </c>
      <c r="E852" s="15" t="str">
        <f>B852</f>
        <v>Lavender</v>
      </c>
      <c r="F852" s="12">
        <f>DATE(2019,4,15)</f>
        <v>43570</v>
      </c>
      <c r="G852" s="13" t="s">
        <v>174</v>
      </c>
      <c r="H852" s="13">
        <v>1</v>
      </c>
      <c r="I852" s="15" t="s">
        <v>175</v>
      </c>
      <c r="J852" s="15" t="s">
        <v>2019</v>
      </c>
    </row>
    <row r="853" spans="1:35" s="14" customFormat="1" ht="12" customHeight="1" x14ac:dyDescent="0.25">
      <c r="A853" s="9">
        <v>851</v>
      </c>
      <c r="B853" s="14" t="s">
        <v>2063</v>
      </c>
      <c r="C853" s="14" t="s">
        <v>2064</v>
      </c>
      <c r="D853" s="13" t="s">
        <v>23</v>
      </c>
      <c r="E853" s="14" t="s">
        <v>2063</v>
      </c>
      <c r="F853" s="12">
        <f>DATE(2025,3,28)</f>
        <v>45744</v>
      </c>
      <c r="G853" s="13">
        <v>2024</v>
      </c>
      <c r="H853" s="13">
        <v>1</v>
      </c>
      <c r="I853" s="14" t="s">
        <v>24</v>
      </c>
      <c r="J853" s="14" t="s">
        <v>2065</v>
      </c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s="14" customFormat="1" ht="12" customHeight="1" x14ac:dyDescent="0.25">
      <c r="A854" s="9">
        <v>852</v>
      </c>
      <c r="B854" s="14" t="s">
        <v>2066</v>
      </c>
      <c r="C854" s="14" t="s">
        <v>335</v>
      </c>
      <c r="D854" s="13" t="s">
        <v>31</v>
      </c>
      <c r="E854" s="15" t="s">
        <v>688</v>
      </c>
      <c r="F854" s="12">
        <f>DATE(2019,4,15)</f>
        <v>43570</v>
      </c>
      <c r="G854" s="13" t="s">
        <v>174</v>
      </c>
      <c r="H854" s="13">
        <v>1</v>
      </c>
      <c r="I854" s="15" t="s">
        <v>66</v>
      </c>
      <c r="J854" s="15" t="s">
        <v>689</v>
      </c>
    </row>
    <row r="855" spans="1:35" s="14" customFormat="1" ht="12" customHeight="1" x14ac:dyDescent="0.25">
      <c r="A855" s="9">
        <v>853</v>
      </c>
      <c r="B855" s="14" t="s">
        <v>2067</v>
      </c>
      <c r="C855" s="14" t="s">
        <v>2068</v>
      </c>
      <c r="D855" s="13" t="s">
        <v>77</v>
      </c>
      <c r="E855" s="14" t="s">
        <v>2067</v>
      </c>
      <c r="F855" s="12"/>
      <c r="G855" s="13">
        <v>2024</v>
      </c>
      <c r="H855" s="13">
        <v>0</v>
      </c>
      <c r="I855" s="14" t="s">
        <v>32</v>
      </c>
      <c r="J855" s="14" t="s">
        <v>33</v>
      </c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s="14" customFormat="1" ht="12" customHeight="1" x14ac:dyDescent="0.25">
      <c r="A856" s="9">
        <v>854</v>
      </c>
      <c r="B856" s="15" t="s">
        <v>2069</v>
      </c>
      <c r="C856" s="15" t="s">
        <v>2070</v>
      </c>
      <c r="D856" s="13" t="s">
        <v>31</v>
      </c>
      <c r="E856" s="15" t="s">
        <v>2069</v>
      </c>
      <c r="F856" s="12">
        <f>DATE(2023,2,10)</f>
        <v>44967</v>
      </c>
      <c r="G856" s="13">
        <v>2023</v>
      </c>
      <c r="H856" s="13">
        <v>1</v>
      </c>
      <c r="I856" s="15" t="s">
        <v>100</v>
      </c>
      <c r="J856" s="15" t="s">
        <v>1288</v>
      </c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s="14" customFormat="1" ht="12" customHeight="1" x14ac:dyDescent="0.25">
      <c r="A857" s="9">
        <v>855</v>
      </c>
      <c r="B857" s="14" t="s">
        <v>2071</v>
      </c>
      <c r="C857" s="14" t="s">
        <v>2072</v>
      </c>
      <c r="D857" s="13" t="s">
        <v>166</v>
      </c>
      <c r="E857" s="15" t="s">
        <v>2073</v>
      </c>
      <c r="F857" s="12">
        <f>DATE(2022,2,3)</f>
        <v>44595</v>
      </c>
      <c r="G857" s="13">
        <v>2014</v>
      </c>
      <c r="H857" s="13">
        <v>1</v>
      </c>
      <c r="I857" s="15" t="s">
        <v>15</v>
      </c>
      <c r="J857" s="15" t="s">
        <v>366</v>
      </c>
    </row>
    <row r="858" spans="1:35" s="14" customFormat="1" ht="12" customHeight="1" x14ac:dyDescent="0.25">
      <c r="A858" s="9">
        <v>856</v>
      </c>
      <c r="B858" s="14" t="s">
        <v>2074</v>
      </c>
      <c r="C858" s="14" t="s">
        <v>2075</v>
      </c>
      <c r="D858" s="13" t="s">
        <v>31</v>
      </c>
      <c r="E858" s="15" t="str">
        <f>B858</f>
        <v>Lefamulin</v>
      </c>
      <c r="F858" s="12">
        <f>DATE(2019,10,29)</f>
        <v>43767</v>
      </c>
      <c r="G858" s="13">
        <v>2019</v>
      </c>
      <c r="H858" s="13">
        <v>1</v>
      </c>
      <c r="I858" s="15" t="s">
        <v>791</v>
      </c>
      <c r="J858" s="15" t="s">
        <v>2076</v>
      </c>
    </row>
    <row r="859" spans="1:35" s="14" customFormat="1" ht="12" customHeight="1" x14ac:dyDescent="0.25">
      <c r="A859" s="9">
        <v>857</v>
      </c>
      <c r="B859" s="14" t="s">
        <v>2077</v>
      </c>
      <c r="C859" s="14" t="s">
        <v>2078</v>
      </c>
      <c r="D859" s="13" t="s">
        <v>44</v>
      </c>
      <c r="E859" s="15" t="str">
        <f>B859</f>
        <v>Leflunomide</v>
      </c>
      <c r="F859" s="12">
        <f>DATE(2019,4,15)</f>
        <v>43570</v>
      </c>
      <c r="G859" s="13">
        <v>1998</v>
      </c>
      <c r="H859" s="13">
        <v>1</v>
      </c>
      <c r="I859" s="15" t="s">
        <v>19</v>
      </c>
      <c r="J859" s="15" t="s">
        <v>94</v>
      </c>
    </row>
    <row r="860" spans="1:35" s="14" customFormat="1" ht="12" customHeight="1" x14ac:dyDescent="0.25">
      <c r="A860" s="9">
        <v>858</v>
      </c>
      <c r="B860" s="14" t="s">
        <v>2079</v>
      </c>
      <c r="C860" s="14" t="s">
        <v>2080</v>
      </c>
      <c r="D860" s="13" t="s">
        <v>31</v>
      </c>
      <c r="E860" s="15" t="str">
        <f>B860</f>
        <v>Lemborexant</v>
      </c>
      <c r="F860" s="12">
        <f>DATE(2025,2,5)</f>
        <v>45693</v>
      </c>
      <c r="G860" s="13">
        <v>2019</v>
      </c>
      <c r="H860" s="13">
        <v>1</v>
      </c>
      <c r="I860" s="15" t="s">
        <v>100</v>
      </c>
      <c r="J860" s="15" t="s">
        <v>1105</v>
      </c>
    </row>
    <row r="861" spans="1:35" s="14" customFormat="1" ht="12" customHeight="1" x14ac:dyDescent="0.3">
      <c r="A861" s="9">
        <v>859</v>
      </c>
      <c r="B861" s="15" t="s">
        <v>2081</v>
      </c>
      <c r="C861" s="23" t="s">
        <v>2082</v>
      </c>
      <c r="D861" s="13" t="s">
        <v>31</v>
      </c>
      <c r="E861" s="15" t="s">
        <v>2081</v>
      </c>
      <c r="F861" s="12">
        <f>DATE(2024,2,5)</f>
        <v>45327</v>
      </c>
      <c r="G861" s="13" t="s">
        <v>174</v>
      </c>
      <c r="H861" s="13">
        <v>1</v>
      </c>
      <c r="I861" s="15" t="s">
        <v>175</v>
      </c>
      <c r="J861" s="15" t="s">
        <v>1772</v>
      </c>
      <c r="K861" s="13"/>
    </row>
    <row r="862" spans="1:35" s="14" customFormat="1" ht="12" customHeight="1" x14ac:dyDescent="0.25">
      <c r="A862" s="9">
        <v>860</v>
      </c>
      <c r="B862" s="14" t="s">
        <v>2083</v>
      </c>
      <c r="C862" s="14" t="s">
        <v>2084</v>
      </c>
      <c r="D862" s="13" t="s">
        <v>31</v>
      </c>
      <c r="E862" s="14" t="s">
        <v>2083</v>
      </c>
      <c r="F862" s="22">
        <f>DATE(2025,1,15)</f>
        <v>45672</v>
      </c>
      <c r="G862" s="13">
        <v>2022</v>
      </c>
      <c r="H862" s="13">
        <v>1</v>
      </c>
      <c r="I862" s="15" t="s">
        <v>15</v>
      </c>
      <c r="J862" s="15" t="s">
        <v>2085</v>
      </c>
      <c r="K862" s="13"/>
      <c r="L862" s="13"/>
    </row>
    <row r="863" spans="1:35" s="14" customFormat="1" ht="12" customHeight="1" x14ac:dyDescent="0.25">
      <c r="A863" s="9">
        <v>861</v>
      </c>
      <c r="B863" s="14" t="s">
        <v>2086</v>
      </c>
      <c r="C863" s="14" t="s">
        <v>2087</v>
      </c>
      <c r="D863" s="13" t="s">
        <v>14</v>
      </c>
      <c r="E863" s="15" t="s">
        <v>2086</v>
      </c>
      <c r="F863" s="12">
        <f>DATE(2022,8,20)</f>
        <v>44793</v>
      </c>
      <c r="G863" s="13">
        <v>2006</v>
      </c>
      <c r="H863" s="13">
        <v>1</v>
      </c>
      <c r="I863" s="15" t="s">
        <v>24</v>
      </c>
      <c r="J863" s="15" t="s">
        <v>601</v>
      </c>
    </row>
    <row r="864" spans="1:35" s="14" customFormat="1" ht="12" customHeight="1" x14ac:dyDescent="0.25">
      <c r="A864" s="9">
        <v>862</v>
      </c>
      <c r="B864" s="14" t="s">
        <v>2088</v>
      </c>
      <c r="C864" s="14" t="s">
        <v>2089</v>
      </c>
      <c r="D864" s="13" t="s">
        <v>31</v>
      </c>
      <c r="E864" s="14" t="s">
        <v>2088</v>
      </c>
      <c r="F864" s="12">
        <f>DATE(2024,7,5)</f>
        <v>45478</v>
      </c>
      <c r="G864" s="13">
        <v>2023</v>
      </c>
      <c r="H864" s="13">
        <v>1</v>
      </c>
      <c r="I864" s="15" t="s">
        <v>104</v>
      </c>
      <c r="J864" s="15" t="s">
        <v>2090</v>
      </c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s="14" customFormat="1" ht="12" customHeight="1" x14ac:dyDescent="0.25">
      <c r="A865" s="9">
        <v>863</v>
      </c>
      <c r="B865" s="14" t="s">
        <v>2091</v>
      </c>
      <c r="C865" s="14" t="s">
        <v>2092</v>
      </c>
      <c r="D865" s="13" t="s">
        <v>36</v>
      </c>
      <c r="E865" s="15" t="str">
        <f>B865</f>
        <v>Lenvatinib</v>
      </c>
      <c r="F865" s="12">
        <f>DATE(2017,3,8)</f>
        <v>42802</v>
      </c>
      <c r="G865" s="13">
        <v>2015</v>
      </c>
      <c r="H865" s="13">
        <v>1</v>
      </c>
      <c r="I865" s="15" t="s">
        <v>24</v>
      </c>
      <c r="J865" s="15" t="s">
        <v>686</v>
      </c>
    </row>
    <row r="866" spans="1:35" s="14" customFormat="1" ht="12" customHeight="1" x14ac:dyDescent="0.25">
      <c r="A866" s="9">
        <v>864</v>
      </c>
      <c r="B866" s="14" t="s">
        <v>2093</v>
      </c>
      <c r="C866" s="14" t="s">
        <v>2094</v>
      </c>
      <c r="D866" s="13" t="s">
        <v>77</v>
      </c>
      <c r="E866" s="15"/>
      <c r="F866" s="12"/>
      <c r="G866" s="13">
        <v>1998</v>
      </c>
      <c r="H866" s="13">
        <v>0</v>
      </c>
      <c r="I866" s="15" t="s">
        <v>230</v>
      </c>
      <c r="J866" s="15" t="s">
        <v>308</v>
      </c>
    </row>
    <row r="867" spans="1:35" s="14" customFormat="1" ht="12" customHeight="1" x14ac:dyDescent="0.3">
      <c r="A867" s="9">
        <v>865</v>
      </c>
      <c r="B867" s="14" t="s">
        <v>2095</v>
      </c>
      <c r="C867" s="14" t="s">
        <v>2096</v>
      </c>
      <c r="D867" s="13" t="s">
        <v>77</v>
      </c>
      <c r="E867" s="14" t="s">
        <v>2095</v>
      </c>
      <c r="F867" s="9"/>
      <c r="G867" s="13">
        <v>2025</v>
      </c>
      <c r="H867" s="16">
        <v>0</v>
      </c>
      <c r="I867" s="14" t="s">
        <v>49</v>
      </c>
      <c r="J867" s="14" t="s">
        <v>499</v>
      </c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</row>
    <row r="868" spans="1:35" s="14" customFormat="1" ht="12" customHeight="1" x14ac:dyDescent="0.25">
      <c r="A868" s="9">
        <v>866</v>
      </c>
      <c r="B868" s="14" t="s">
        <v>2097</v>
      </c>
      <c r="C868" s="14" t="s">
        <v>2098</v>
      </c>
      <c r="D868" s="13" t="s">
        <v>31</v>
      </c>
      <c r="E868" s="15" t="str">
        <f>B868</f>
        <v>Lesinurad</v>
      </c>
      <c r="F868" s="12">
        <f>DATE(2016,6,24)</f>
        <v>42545</v>
      </c>
      <c r="G868" s="13">
        <v>2015</v>
      </c>
      <c r="H868" s="13">
        <v>1</v>
      </c>
      <c r="I868" s="15" t="s">
        <v>19</v>
      </c>
      <c r="J868" s="15" t="s">
        <v>167</v>
      </c>
    </row>
    <row r="869" spans="1:35" s="14" customFormat="1" ht="12" customHeight="1" x14ac:dyDescent="0.25">
      <c r="A869" s="9">
        <v>867</v>
      </c>
      <c r="B869" s="14" t="s">
        <v>2099</v>
      </c>
      <c r="C869" s="14" t="s">
        <v>2100</v>
      </c>
      <c r="D869" s="13" t="s">
        <v>31</v>
      </c>
      <c r="E869" s="15" t="str">
        <f>B869</f>
        <v>Letermovir</v>
      </c>
      <c r="F869" s="12">
        <f>DATE(2019,3,20)</f>
        <v>43544</v>
      </c>
      <c r="G869" s="13">
        <v>2017</v>
      </c>
      <c r="H869" s="13">
        <v>1</v>
      </c>
      <c r="I869" s="15" t="s">
        <v>15</v>
      </c>
      <c r="J869" s="15" t="s">
        <v>2101</v>
      </c>
    </row>
    <row r="870" spans="1:35" s="14" customFormat="1" ht="12" customHeight="1" x14ac:dyDescent="0.25">
      <c r="A870" s="9">
        <v>868</v>
      </c>
      <c r="B870" s="14" t="s">
        <v>2102</v>
      </c>
      <c r="C870" s="14" t="s">
        <v>2103</v>
      </c>
      <c r="D870" s="13" t="s">
        <v>36</v>
      </c>
      <c r="E870" s="15" t="str">
        <f>B870</f>
        <v>Letrozole</v>
      </c>
      <c r="F870" s="12">
        <f>DATE(2017,7,25)</f>
        <v>42941</v>
      </c>
      <c r="G870" s="13">
        <v>1997</v>
      </c>
      <c r="H870" s="13">
        <v>1</v>
      </c>
      <c r="I870" s="15" t="s">
        <v>24</v>
      </c>
      <c r="J870" s="15" t="s">
        <v>284</v>
      </c>
    </row>
    <row r="871" spans="1:35" s="14" customFormat="1" ht="12" customHeight="1" x14ac:dyDescent="0.25">
      <c r="A871" s="9">
        <v>869</v>
      </c>
      <c r="B871" s="14" t="s">
        <v>2104</v>
      </c>
      <c r="C871" s="14" t="s">
        <v>2105</v>
      </c>
      <c r="D871" s="13" t="s">
        <v>31</v>
      </c>
      <c r="E871" s="15" t="s">
        <v>2106</v>
      </c>
      <c r="F871" s="12">
        <f>DATE(2021,5,23)</f>
        <v>44339</v>
      </c>
      <c r="G871" s="13">
        <v>1980</v>
      </c>
      <c r="H871" s="13">
        <v>1</v>
      </c>
      <c r="I871" s="15" t="s">
        <v>190</v>
      </c>
      <c r="J871" s="15" t="s">
        <v>198</v>
      </c>
    </row>
    <row r="872" spans="1:35" s="14" customFormat="1" ht="12" customHeight="1" x14ac:dyDescent="0.25">
      <c r="A872" s="9">
        <v>870</v>
      </c>
      <c r="B872" s="14" t="s">
        <v>2107</v>
      </c>
      <c r="C872" s="14" t="s">
        <v>2108</v>
      </c>
      <c r="D872" s="13" t="s">
        <v>31</v>
      </c>
      <c r="E872" s="15" t="str">
        <f>B872</f>
        <v>Leuprolide</v>
      </c>
      <c r="F872" s="12">
        <f>DATE(2018,3,22)</f>
        <v>43181</v>
      </c>
      <c r="G872" s="13">
        <v>1985</v>
      </c>
      <c r="H872" s="13">
        <v>1</v>
      </c>
      <c r="I872" s="15" t="s">
        <v>24</v>
      </c>
      <c r="J872" s="15" t="s">
        <v>284</v>
      </c>
    </row>
    <row r="873" spans="1:35" s="14" customFormat="1" ht="12" customHeight="1" x14ac:dyDescent="0.25">
      <c r="A873" s="9">
        <v>871</v>
      </c>
      <c r="B873" s="14" t="s">
        <v>2109</v>
      </c>
      <c r="C873" s="14" t="s">
        <v>2110</v>
      </c>
      <c r="D873" s="13" t="s">
        <v>77</v>
      </c>
      <c r="E873" s="14" t="s">
        <v>2109</v>
      </c>
      <c r="F873" s="12"/>
      <c r="G873" s="13">
        <v>2024</v>
      </c>
      <c r="H873" s="13">
        <v>0</v>
      </c>
      <c r="I873" s="14" t="s">
        <v>324</v>
      </c>
      <c r="J873" s="14" t="s">
        <v>325</v>
      </c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s="14" customFormat="1" ht="12" customHeight="1" x14ac:dyDescent="0.25">
      <c r="A874" s="9">
        <v>872</v>
      </c>
      <c r="B874" s="14" t="s">
        <v>2111</v>
      </c>
      <c r="C874" s="14" t="s">
        <v>2112</v>
      </c>
      <c r="D874" s="13" t="s">
        <v>23</v>
      </c>
      <c r="E874" s="15"/>
      <c r="F874" s="12"/>
      <c r="G874" s="13">
        <v>1990</v>
      </c>
      <c r="H874" s="13">
        <v>0</v>
      </c>
      <c r="I874" s="15" t="s">
        <v>15</v>
      </c>
      <c r="J874" s="15" t="s">
        <v>122</v>
      </c>
    </row>
    <row r="875" spans="1:35" s="14" customFormat="1" ht="12" customHeight="1" x14ac:dyDescent="0.25">
      <c r="A875" s="9">
        <v>873</v>
      </c>
      <c r="B875" s="14" t="s">
        <v>2113</v>
      </c>
      <c r="C875" s="14" t="s">
        <v>2114</v>
      </c>
      <c r="D875" s="13" t="s">
        <v>14</v>
      </c>
      <c r="E875" s="15" t="str">
        <f>B875</f>
        <v>Levetiracetam</v>
      </c>
      <c r="F875" s="12">
        <f>DATE(2019,5,6)</f>
        <v>43591</v>
      </c>
      <c r="G875" s="13">
        <v>1999</v>
      </c>
      <c r="H875" s="13">
        <v>1</v>
      </c>
      <c r="I875" s="15" t="s">
        <v>100</v>
      </c>
      <c r="J875" s="15" t="s">
        <v>630</v>
      </c>
    </row>
    <row r="876" spans="1:35" s="14" customFormat="1" ht="12" customHeight="1" x14ac:dyDescent="0.25">
      <c r="A876" s="9">
        <v>874</v>
      </c>
      <c r="B876" s="14" t="s">
        <v>2115</v>
      </c>
      <c r="C876" s="14" t="s">
        <v>2116</v>
      </c>
      <c r="D876" s="13" t="s">
        <v>14</v>
      </c>
      <c r="E876" s="15" t="str">
        <f>B876</f>
        <v>Levocetirizine</v>
      </c>
      <c r="F876" s="12">
        <f>DATE(2017,1,17)</f>
        <v>42752</v>
      </c>
      <c r="G876" s="13">
        <v>2007</v>
      </c>
      <c r="H876" s="13">
        <v>1</v>
      </c>
      <c r="I876" s="15" t="s">
        <v>73</v>
      </c>
      <c r="J876" s="15" t="s">
        <v>85</v>
      </c>
    </row>
    <row r="877" spans="1:35" s="14" customFormat="1" ht="12" customHeight="1" x14ac:dyDescent="0.25">
      <c r="A877" s="9">
        <v>875</v>
      </c>
      <c r="B877" s="14" t="s">
        <v>735</v>
      </c>
      <c r="C877" s="14" t="s">
        <v>2117</v>
      </c>
      <c r="D877" s="13" t="s">
        <v>31</v>
      </c>
      <c r="E877" s="15" t="str">
        <f>B877</f>
        <v>Levodopa</v>
      </c>
      <c r="F877" s="12">
        <f>DATE(2021,10,25)</f>
        <v>44494</v>
      </c>
      <c r="G877" s="13">
        <v>1970</v>
      </c>
      <c r="H877" s="13">
        <v>1</v>
      </c>
      <c r="I877" s="15" t="s">
        <v>100</v>
      </c>
      <c r="J877" s="15" t="s">
        <v>210</v>
      </c>
    </row>
    <row r="878" spans="1:35" s="14" customFormat="1" ht="12" customHeight="1" x14ac:dyDescent="0.25">
      <c r="A878" s="9">
        <v>876</v>
      </c>
      <c r="B878" s="14" t="s">
        <v>2118</v>
      </c>
      <c r="C878" s="14" t="s">
        <v>2119</v>
      </c>
      <c r="D878" s="13" t="s">
        <v>166</v>
      </c>
      <c r="E878" s="15" t="str">
        <f>B878</f>
        <v>Levofloxacin</v>
      </c>
      <c r="F878" s="12">
        <f>DATE(2020,3,10)</f>
        <v>43900</v>
      </c>
      <c r="G878" s="13">
        <v>1996</v>
      </c>
      <c r="H878" s="13">
        <v>1</v>
      </c>
      <c r="I878" s="15" t="s">
        <v>15</v>
      </c>
      <c r="J878" s="15" t="s">
        <v>225</v>
      </c>
    </row>
    <row r="879" spans="1:35" s="14" customFormat="1" ht="12" customHeight="1" x14ac:dyDescent="0.25">
      <c r="A879" s="9">
        <v>877</v>
      </c>
      <c r="B879" s="14" t="s">
        <v>2120</v>
      </c>
      <c r="C879" s="14" t="s">
        <v>2121</v>
      </c>
      <c r="D879" s="13" t="s">
        <v>36</v>
      </c>
      <c r="E879" s="15" t="s">
        <v>2122</v>
      </c>
      <c r="F879" s="12">
        <f>DATE(2019,5,15)</f>
        <v>43600</v>
      </c>
      <c r="G879" s="13">
        <v>2020</v>
      </c>
      <c r="H879" s="13">
        <v>1</v>
      </c>
      <c r="I879" s="15" t="s">
        <v>100</v>
      </c>
      <c r="J879" s="15" t="s">
        <v>250</v>
      </c>
    </row>
    <row r="880" spans="1:35" s="14" customFormat="1" ht="12" customHeight="1" x14ac:dyDescent="0.25">
      <c r="A880" s="9">
        <v>878</v>
      </c>
      <c r="B880" s="14" t="s">
        <v>2123</v>
      </c>
      <c r="C880" s="14" t="s">
        <v>2124</v>
      </c>
      <c r="D880" s="13" t="s">
        <v>31</v>
      </c>
      <c r="E880" s="15" t="s">
        <v>1172</v>
      </c>
      <c r="F880" s="12">
        <f>DATE(2020,6,24)</f>
        <v>44006</v>
      </c>
      <c r="G880" s="13">
        <v>1990</v>
      </c>
      <c r="H880" s="13">
        <v>1</v>
      </c>
      <c r="I880" s="15" t="s">
        <v>473</v>
      </c>
      <c r="J880" s="15" t="s">
        <v>2125</v>
      </c>
    </row>
    <row r="881" spans="1:35" s="14" customFormat="1" ht="12" customHeight="1" x14ac:dyDescent="0.25">
      <c r="A881" s="9">
        <v>879</v>
      </c>
      <c r="B881" s="14" t="s">
        <v>2126</v>
      </c>
      <c r="C881" s="14" t="s">
        <v>2127</v>
      </c>
      <c r="D881" s="13" t="s">
        <v>31</v>
      </c>
      <c r="E881" s="15" t="str">
        <f>B881</f>
        <v>Levorphanol</v>
      </c>
      <c r="F881" s="12">
        <f>DATE(2019,4,29)</f>
        <v>43584</v>
      </c>
      <c r="G881" s="13">
        <v>1953</v>
      </c>
      <c r="H881" s="13">
        <v>1</v>
      </c>
      <c r="I881" s="15" t="s">
        <v>54</v>
      </c>
      <c r="J881" s="15" t="s">
        <v>984</v>
      </c>
    </row>
    <row r="882" spans="1:35" s="14" customFormat="1" ht="12" customHeight="1" x14ac:dyDescent="0.25">
      <c r="A882" s="9">
        <v>880</v>
      </c>
      <c r="B882" s="14" t="s">
        <v>2128</v>
      </c>
      <c r="C882" s="14" t="s">
        <v>2129</v>
      </c>
      <c r="D882" s="13" t="s">
        <v>31</v>
      </c>
      <c r="E882" s="15" t="s">
        <v>1208</v>
      </c>
      <c r="F882" s="12">
        <f>DATE(2019,4,15)</f>
        <v>43570</v>
      </c>
      <c r="G882" s="13" t="s">
        <v>2130</v>
      </c>
      <c r="H882" s="13">
        <v>1</v>
      </c>
      <c r="I882" s="15" t="s">
        <v>45</v>
      </c>
      <c r="J882" s="15" t="s">
        <v>2131</v>
      </c>
    </row>
    <row r="883" spans="1:35" s="14" customFormat="1" ht="12" customHeight="1" x14ac:dyDescent="0.25">
      <c r="A883" s="9">
        <v>881</v>
      </c>
      <c r="B883" s="14" t="s">
        <v>2132</v>
      </c>
      <c r="C883" s="14" t="s">
        <v>2133</v>
      </c>
      <c r="D883" s="13" t="s">
        <v>31</v>
      </c>
      <c r="E883" s="15" t="str">
        <f>B883</f>
        <v>L-Glutamine</v>
      </c>
      <c r="F883" s="12">
        <f>DATE(2021,8,11)</f>
        <v>44419</v>
      </c>
      <c r="G883" s="13">
        <v>2019</v>
      </c>
      <c r="H883" s="13">
        <v>1</v>
      </c>
      <c r="I883" s="15" t="s">
        <v>230</v>
      </c>
      <c r="J883" s="15" t="s">
        <v>2134</v>
      </c>
    </row>
    <row r="884" spans="1:35" s="14" customFormat="1" ht="12" customHeight="1" x14ac:dyDescent="0.25">
      <c r="A884" s="9">
        <v>882</v>
      </c>
      <c r="B884" s="14" t="s">
        <v>2135</v>
      </c>
      <c r="C884" s="14" t="s">
        <v>188</v>
      </c>
      <c r="D884" s="13" t="s">
        <v>31</v>
      </c>
      <c r="E884" s="15" t="s">
        <v>2135</v>
      </c>
      <c r="F884" s="12">
        <f>DATE(2023,3,20)</f>
        <v>45005</v>
      </c>
      <c r="G884" s="13" t="s">
        <v>174</v>
      </c>
      <c r="H884" s="13">
        <v>1</v>
      </c>
      <c r="I884" s="15" t="s">
        <v>175</v>
      </c>
      <c r="J884" s="15" t="s">
        <v>67</v>
      </c>
    </row>
    <row r="885" spans="1:35" s="14" customFormat="1" ht="12" customHeight="1" x14ac:dyDescent="0.25">
      <c r="A885" s="9">
        <v>883</v>
      </c>
      <c r="B885" s="14" t="s">
        <v>2136</v>
      </c>
      <c r="C885" s="14" t="s">
        <v>2137</v>
      </c>
      <c r="D885" s="13" t="s">
        <v>31</v>
      </c>
      <c r="E885" s="15" t="s">
        <v>339</v>
      </c>
      <c r="F885" s="12">
        <f>DATE(2017,1,20)</f>
        <v>42755</v>
      </c>
      <c r="G885" s="13" t="s">
        <v>240</v>
      </c>
      <c r="H885" s="13">
        <v>1</v>
      </c>
      <c r="I885" s="15" t="s">
        <v>100</v>
      </c>
      <c r="J885" s="15" t="s">
        <v>340</v>
      </c>
    </row>
    <row r="886" spans="1:35" s="14" customFormat="1" ht="12" customHeight="1" x14ac:dyDescent="0.25">
      <c r="A886" s="9">
        <v>884</v>
      </c>
      <c r="B886" s="15" t="s">
        <v>2138</v>
      </c>
      <c r="C886" s="15" t="s">
        <v>2139</v>
      </c>
      <c r="D886" s="13" t="s">
        <v>44</v>
      </c>
      <c r="E886" s="14" t="s">
        <v>287</v>
      </c>
      <c r="F886" s="12">
        <f>DATE(2025,9,20)</f>
        <v>45920</v>
      </c>
      <c r="G886" s="13" t="s">
        <v>174</v>
      </c>
      <c r="H886" s="13">
        <v>1</v>
      </c>
      <c r="I886" s="15" t="s">
        <v>45</v>
      </c>
      <c r="J886" s="13" t="s">
        <v>288</v>
      </c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</row>
    <row r="887" spans="1:35" s="14" customFormat="1" ht="12" customHeight="1" x14ac:dyDescent="0.25">
      <c r="A887" s="9">
        <v>885</v>
      </c>
      <c r="B887" s="14" t="s">
        <v>2140</v>
      </c>
      <c r="C887" s="14" t="s">
        <v>2141</v>
      </c>
      <c r="D887" s="13" t="s">
        <v>31</v>
      </c>
      <c r="E887" s="15" t="str">
        <f>B887</f>
        <v>Linaclotide</v>
      </c>
      <c r="F887" s="12">
        <f>DATE(2019,5,20)</f>
        <v>43605</v>
      </c>
      <c r="G887" s="13">
        <v>2012</v>
      </c>
      <c r="H887" s="13">
        <v>1</v>
      </c>
      <c r="I887" s="15" t="s">
        <v>182</v>
      </c>
      <c r="J887" s="15" t="s">
        <v>183</v>
      </c>
    </row>
    <row r="888" spans="1:35" s="14" customFormat="1" ht="12" customHeight="1" x14ac:dyDescent="0.25">
      <c r="A888" s="9">
        <v>886</v>
      </c>
      <c r="B888" s="14" t="s">
        <v>2142</v>
      </c>
      <c r="C888" s="14" t="s">
        <v>2143</v>
      </c>
      <c r="D888" s="13" t="s">
        <v>36</v>
      </c>
      <c r="E888" s="15" t="str">
        <f>B888</f>
        <v>Linagliptin</v>
      </c>
      <c r="F888" s="12">
        <f>DATE(2018,1,2)</f>
        <v>43102</v>
      </c>
      <c r="G888" s="13">
        <v>2011</v>
      </c>
      <c r="H888" s="13">
        <v>1</v>
      </c>
      <c r="I888" s="15" t="s">
        <v>45</v>
      </c>
      <c r="J888" s="15" t="s">
        <v>46</v>
      </c>
    </row>
    <row r="889" spans="1:35" s="14" customFormat="1" ht="12" customHeight="1" x14ac:dyDescent="0.25">
      <c r="A889" s="9">
        <v>887</v>
      </c>
      <c r="B889" s="14" t="s">
        <v>2144</v>
      </c>
      <c r="C889" s="14" t="s">
        <v>2145</v>
      </c>
      <c r="D889" s="13" t="s">
        <v>77</v>
      </c>
      <c r="E889" s="15"/>
      <c r="F889" s="12"/>
      <c r="G889" s="13">
        <v>1964</v>
      </c>
      <c r="H889" s="13">
        <v>0</v>
      </c>
      <c r="I889" s="15" t="s">
        <v>15</v>
      </c>
      <c r="J889" s="15" t="s">
        <v>225</v>
      </c>
    </row>
    <row r="890" spans="1:35" s="14" customFormat="1" ht="12" customHeight="1" x14ac:dyDescent="0.25">
      <c r="A890" s="9">
        <v>888</v>
      </c>
      <c r="B890" s="14" t="s">
        <v>2146</v>
      </c>
      <c r="C890" s="14" t="s">
        <v>2147</v>
      </c>
      <c r="D890" s="13" t="s">
        <v>166</v>
      </c>
      <c r="E890" s="15" t="str">
        <f>B890</f>
        <v>Linezolid</v>
      </c>
      <c r="F890" s="12">
        <f>DATE(2019,5,20)</f>
        <v>43605</v>
      </c>
      <c r="G890" s="13">
        <v>2000</v>
      </c>
      <c r="H890" s="13">
        <v>1</v>
      </c>
      <c r="I890" s="15" t="s">
        <v>15</v>
      </c>
      <c r="J890" s="15" t="s">
        <v>225</v>
      </c>
    </row>
    <row r="891" spans="1:35" s="14" customFormat="1" ht="12" customHeight="1" x14ac:dyDescent="0.25">
      <c r="A891" s="9">
        <v>889</v>
      </c>
      <c r="B891" s="15" t="s">
        <v>2148</v>
      </c>
      <c r="C891" s="14" t="s">
        <v>2149</v>
      </c>
      <c r="D891" s="13" t="s">
        <v>36</v>
      </c>
      <c r="E891" s="15" t="s">
        <v>2148</v>
      </c>
      <c r="F891" s="12">
        <f>DATE(2024,10,10)</f>
        <v>45575</v>
      </c>
      <c r="G891" s="13" t="s">
        <v>174</v>
      </c>
      <c r="H891" s="13">
        <v>1</v>
      </c>
      <c r="I891" s="15" t="s">
        <v>2150</v>
      </c>
      <c r="J891" s="15" t="s">
        <v>2151</v>
      </c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s="14" customFormat="1" ht="12" customHeight="1" x14ac:dyDescent="0.3">
      <c r="A892" s="9">
        <v>890</v>
      </c>
      <c r="B892" s="14" t="s">
        <v>2152</v>
      </c>
      <c r="C892" s="14" t="s">
        <v>2153</v>
      </c>
      <c r="D892" s="13" t="s">
        <v>77</v>
      </c>
      <c r="E892" s="14" t="s">
        <v>2152</v>
      </c>
      <c r="F892" s="9"/>
      <c r="G892" s="13">
        <v>2025</v>
      </c>
      <c r="H892" s="16">
        <v>0</v>
      </c>
      <c r="I892" s="14" t="s">
        <v>24</v>
      </c>
      <c r="J892" s="14" t="s">
        <v>601</v>
      </c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</row>
    <row r="893" spans="1:35" s="14" customFormat="1" ht="12" customHeight="1" x14ac:dyDescent="0.25">
      <c r="A893" s="9">
        <v>891</v>
      </c>
      <c r="B893" s="15" t="s">
        <v>2154</v>
      </c>
      <c r="C893" s="15" t="s">
        <v>2155</v>
      </c>
      <c r="D893" s="13" t="s">
        <v>31</v>
      </c>
      <c r="E893" s="15" t="s">
        <v>2156</v>
      </c>
      <c r="F893" s="12">
        <f>DATE(2024,1,5)</f>
        <v>45296</v>
      </c>
      <c r="G893" s="13" t="s">
        <v>174</v>
      </c>
      <c r="H893" s="13">
        <v>1</v>
      </c>
      <c r="I893" s="15" t="s">
        <v>175</v>
      </c>
      <c r="J893" s="15" t="s">
        <v>2157</v>
      </c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s="14" customFormat="1" ht="12" customHeight="1" x14ac:dyDescent="0.25">
      <c r="A894" s="9">
        <v>892</v>
      </c>
      <c r="B894" s="14" t="s">
        <v>2158</v>
      </c>
      <c r="C894" s="14" t="s">
        <v>2159</v>
      </c>
      <c r="D894" s="13" t="s">
        <v>31</v>
      </c>
      <c r="E894" s="15" t="s">
        <v>1208</v>
      </c>
      <c r="F894" s="12">
        <f>DATE(2019,4,15)</f>
        <v>43570</v>
      </c>
      <c r="G894" s="13">
        <v>1957</v>
      </c>
      <c r="H894" s="13">
        <v>1</v>
      </c>
      <c r="I894" s="15" t="s">
        <v>45</v>
      </c>
      <c r="J894" s="15" t="s">
        <v>2131</v>
      </c>
    </row>
    <row r="895" spans="1:35" s="14" customFormat="1" ht="12" customHeight="1" x14ac:dyDescent="0.25">
      <c r="A895" s="9">
        <v>893</v>
      </c>
      <c r="B895" s="14" t="s">
        <v>2160</v>
      </c>
      <c r="C895" s="14" t="s">
        <v>2161</v>
      </c>
      <c r="D895" s="13" t="s">
        <v>31</v>
      </c>
      <c r="E895" s="15" t="str">
        <f>B895</f>
        <v>Liraglutide</v>
      </c>
      <c r="F895" s="12">
        <f>DATE(2017,5,1)</f>
        <v>42856</v>
      </c>
      <c r="G895" s="13">
        <v>2010</v>
      </c>
      <c r="H895" s="13">
        <v>1</v>
      </c>
      <c r="I895" s="15" t="s">
        <v>45</v>
      </c>
      <c r="J895" s="15" t="s">
        <v>46</v>
      </c>
    </row>
    <row r="896" spans="1:35" s="14" customFormat="1" ht="12" customHeight="1" x14ac:dyDescent="0.25">
      <c r="A896" s="9">
        <v>894</v>
      </c>
      <c r="B896" s="14" t="s">
        <v>2162</v>
      </c>
      <c r="C896" s="14" t="s">
        <v>2163</v>
      </c>
      <c r="D896" s="13" t="s">
        <v>53</v>
      </c>
      <c r="E896" s="15" t="s">
        <v>266</v>
      </c>
      <c r="F896" s="12">
        <f>DATE(2016,4,15)</f>
        <v>42475</v>
      </c>
      <c r="G896" s="13">
        <v>2007</v>
      </c>
      <c r="H896" s="13">
        <v>1</v>
      </c>
      <c r="I896" s="15" t="s">
        <v>100</v>
      </c>
      <c r="J896" s="15" t="s">
        <v>383</v>
      </c>
    </row>
    <row r="897" spans="1:10" s="14" customFormat="1" ht="12" customHeight="1" x14ac:dyDescent="0.25">
      <c r="A897" s="9">
        <v>895</v>
      </c>
      <c r="B897" s="14" t="s">
        <v>2164</v>
      </c>
      <c r="C897" s="14" t="s">
        <v>2165</v>
      </c>
      <c r="D897" s="13" t="s">
        <v>44</v>
      </c>
      <c r="E897" s="15" t="str">
        <f>B897</f>
        <v>Lisinopril</v>
      </c>
      <c r="F897" s="12">
        <f>DATE(2017,1,15)</f>
        <v>42750</v>
      </c>
      <c r="G897" s="13">
        <v>1987</v>
      </c>
      <c r="H897" s="13">
        <v>1</v>
      </c>
      <c r="I897" s="15" t="s">
        <v>49</v>
      </c>
      <c r="J897" s="15" t="s">
        <v>50</v>
      </c>
    </row>
    <row r="898" spans="1:10" s="14" customFormat="1" ht="12" customHeight="1" x14ac:dyDescent="0.25">
      <c r="A898" s="9">
        <v>896</v>
      </c>
      <c r="B898" s="14" t="s">
        <v>2166</v>
      </c>
      <c r="C898" s="14" t="s">
        <v>2167</v>
      </c>
      <c r="D898" s="13" t="s">
        <v>31</v>
      </c>
      <c r="E898" s="15" t="str">
        <f>B898</f>
        <v xml:space="preserve">Lithium </v>
      </c>
      <c r="F898" s="12">
        <f>DATE(2019,6,4)</f>
        <v>43620</v>
      </c>
      <c r="G898" s="13">
        <v>1970</v>
      </c>
      <c r="H898" s="13">
        <v>1</v>
      </c>
      <c r="I898" s="15" t="s">
        <v>100</v>
      </c>
      <c r="J898" s="15" t="s">
        <v>2168</v>
      </c>
    </row>
    <row r="899" spans="1:10" s="14" customFormat="1" ht="12" customHeight="1" x14ac:dyDescent="0.25">
      <c r="A899" s="9">
        <v>897</v>
      </c>
      <c r="B899" s="14" t="s">
        <v>2169</v>
      </c>
      <c r="C899" s="14" t="s">
        <v>2170</v>
      </c>
      <c r="D899" s="13" t="s">
        <v>31</v>
      </c>
      <c r="E899" s="15" t="str">
        <f>B899</f>
        <v>Lixisenatide</v>
      </c>
      <c r="F899" s="12">
        <f>DATE(2017,5,1)</f>
        <v>42856</v>
      </c>
      <c r="G899" s="13">
        <v>2016</v>
      </c>
      <c r="H899" s="13">
        <v>1</v>
      </c>
      <c r="I899" s="15" t="s">
        <v>45</v>
      </c>
      <c r="J899" s="15" t="s">
        <v>46</v>
      </c>
    </row>
    <row r="900" spans="1:10" s="14" customFormat="1" ht="12" customHeight="1" x14ac:dyDescent="0.25">
      <c r="A900" s="9">
        <v>898</v>
      </c>
      <c r="B900" s="14" t="s">
        <v>2171</v>
      </c>
      <c r="C900" s="14" t="s">
        <v>2172</v>
      </c>
      <c r="D900" s="13" t="s">
        <v>77</v>
      </c>
      <c r="E900" s="15" t="s">
        <v>2171</v>
      </c>
      <c r="F900" s="12"/>
      <c r="G900" s="16">
        <v>2018</v>
      </c>
      <c r="H900" s="13">
        <v>0</v>
      </c>
      <c r="I900" s="15" t="s">
        <v>2173</v>
      </c>
      <c r="J900" s="15" t="s">
        <v>2174</v>
      </c>
    </row>
    <row r="901" spans="1:10" s="14" customFormat="1" ht="12" customHeight="1" x14ac:dyDescent="0.25">
      <c r="A901" s="9">
        <v>899</v>
      </c>
      <c r="B901" s="14" t="s">
        <v>2175</v>
      </c>
      <c r="C901" s="14" t="s">
        <v>2176</v>
      </c>
      <c r="D901" s="13" t="s">
        <v>14</v>
      </c>
      <c r="E901" s="15" t="str">
        <f>B901</f>
        <v>Lomitapide</v>
      </c>
      <c r="F901" s="12">
        <f>DATE(2019,5,20)</f>
        <v>43605</v>
      </c>
      <c r="G901" s="13">
        <v>2012</v>
      </c>
      <c r="H901" s="13">
        <v>1</v>
      </c>
      <c r="I901" s="15" t="s">
        <v>49</v>
      </c>
      <c r="J901" s="15" t="s">
        <v>161</v>
      </c>
    </row>
    <row r="902" spans="1:10" s="14" customFormat="1" ht="12" customHeight="1" x14ac:dyDescent="0.25">
      <c r="A902" s="9">
        <v>900</v>
      </c>
      <c r="B902" s="14" t="s">
        <v>2177</v>
      </c>
      <c r="C902" s="14" t="s">
        <v>2178</v>
      </c>
      <c r="D902" s="13" t="s">
        <v>36</v>
      </c>
      <c r="E902" s="15" t="str">
        <f>B902</f>
        <v>Lomustine</v>
      </c>
      <c r="F902" s="12">
        <f>DATE(2019,6,3)</f>
        <v>43619</v>
      </c>
      <c r="G902" s="13">
        <v>1978</v>
      </c>
      <c r="H902" s="13">
        <v>1</v>
      </c>
      <c r="I902" s="15" t="s">
        <v>24</v>
      </c>
      <c r="J902" s="15" t="s">
        <v>132</v>
      </c>
    </row>
    <row r="903" spans="1:10" s="14" customFormat="1" ht="12" customHeight="1" x14ac:dyDescent="0.25">
      <c r="A903" s="9">
        <v>901</v>
      </c>
      <c r="B903" s="15" t="s">
        <v>2179</v>
      </c>
      <c r="C903" s="15" t="s">
        <v>2180</v>
      </c>
      <c r="D903" s="13" t="s">
        <v>23</v>
      </c>
      <c r="E903" s="15" t="str">
        <f>B903</f>
        <v>Lonafarnib</v>
      </c>
      <c r="F903" s="18">
        <f>DATE(2021,1,7)</f>
        <v>44203</v>
      </c>
      <c r="G903" s="13">
        <v>2020</v>
      </c>
      <c r="H903" s="13">
        <v>1</v>
      </c>
      <c r="I903" s="15" t="s">
        <v>24</v>
      </c>
      <c r="J903" s="15" t="s">
        <v>2181</v>
      </c>
    </row>
    <row r="904" spans="1:10" s="14" customFormat="1" ht="12" customHeight="1" x14ac:dyDescent="0.25">
      <c r="A904" s="9">
        <v>902</v>
      </c>
      <c r="B904" s="14" t="s">
        <v>2182</v>
      </c>
      <c r="C904" s="14" t="s">
        <v>2183</v>
      </c>
      <c r="D904" s="13" t="s">
        <v>77</v>
      </c>
      <c r="E904" s="15" t="s">
        <v>2182</v>
      </c>
      <c r="F904" s="12"/>
      <c r="G904" s="16">
        <v>2021</v>
      </c>
      <c r="H904" s="13">
        <v>0</v>
      </c>
      <c r="I904" s="15" t="s">
        <v>45</v>
      </c>
      <c r="J904" s="15" t="s">
        <v>2184</v>
      </c>
    </row>
    <row r="905" spans="1:10" s="14" customFormat="1" ht="12" customHeight="1" x14ac:dyDescent="0.25">
      <c r="A905" s="9">
        <v>903</v>
      </c>
      <c r="B905" s="14" t="s">
        <v>2185</v>
      </c>
      <c r="C905" s="14" t="s">
        <v>2186</v>
      </c>
      <c r="D905" s="13" t="s">
        <v>77</v>
      </c>
      <c r="E905" s="15" t="s">
        <v>2185</v>
      </c>
      <c r="F905" s="12"/>
      <c r="G905" s="16">
        <v>2021</v>
      </c>
      <c r="H905" s="13">
        <v>0</v>
      </c>
      <c r="I905" s="15" t="s">
        <v>24</v>
      </c>
      <c r="J905" s="15" t="s">
        <v>487</v>
      </c>
    </row>
    <row r="906" spans="1:10" s="14" customFormat="1" ht="12" customHeight="1" x14ac:dyDescent="0.25">
      <c r="A906" s="9">
        <v>904</v>
      </c>
      <c r="B906" s="14" t="s">
        <v>2187</v>
      </c>
      <c r="C906" s="14" t="s">
        <v>2188</v>
      </c>
      <c r="D906" s="13" t="s">
        <v>31</v>
      </c>
      <c r="E906" s="15" t="str">
        <f t="shared" ref="E906:E915" si="21">B906</f>
        <v>Loperamide</v>
      </c>
      <c r="F906" s="12">
        <f>DATE(2019,5,3)</f>
        <v>43588</v>
      </c>
      <c r="G906" s="13">
        <v>1976</v>
      </c>
      <c r="H906" s="13">
        <v>1</v>
      </c>
      <c r="I906" s="15" t="s">
        <v>182</v>
      </c>
      <c r="J906" s="15" t="s">
        <v>397</v>
      </c>
    </row>
    <row r="907" spans="1:10" s="14" customFormat="1" ht="12" customHeight="1" x14ac:dyDescent="0.25">
      <c r="A907" s="9">
        <v>905</v>
      </c>
      <c r="B907" s="14" t="s">
        <v>2189</v>
      </c>
      <c r="C907" s="14" t="s">
        <v>2190</v>
      </c>
      <c r="D907" s="13" t="s">
        <v>36</v>
      </c>
      <c r="E907" s="15" t="str">
        <f t="shared" si="21"/>
        <v>Lopinavir</v>
      </c>
      <c r="F907" s="12">
        <f>DATE(2017,9,1)</f>
        <v>42979</v>
      </c>
      <c r="G907" s="13">
        <v>2000</v>
      </c>
      <c r="H907" s="13">
        <v>1</v>
      </c>
      <c r="I907" s="15" t="s">
        <v>15</v>
      </c>
      <c r="J907" s="15" t="s">
        <v>16</v>
      </c>
    </row>
    <row r="908" spans="1:10" s="14" customFormat="1" ht="12" customHeight="1" x14ac:dyDescent="0.25">
      <c r="A908" s="9">
        <v>906</v>
      </c>
      <c r="B908" s="14" t="s">
        <v>1169</v>
      </c>
      <c r="C908" s="14" t="s">
        <v>2191</v>
      </c>
      <c r="D908" s="13" t="s">
        <v>23</v>
      </c>
      <c r="E908" s="15" t="str">
        <f t="shared" si="21"/>
        <v>Loratadine</v>
      </c>
      <c r="F908" s="12">
        <f>DATE(2017,1,17)</f>
        <v>42752</v>
      </c>
      <c r="G908" s="13">
        <v>2001</v>
      </c>
      <c r="H908" s="13">
        <v>1</v>
      </c>
      <c r="I908" s="15" t="s">
        <v>73</v>
      </c>
      <c r="J908" s="15" t="s">
        <v>85</v>
      </c>
    </row>
    <row r="909" spans="1:10" s="14" customFormat="1" ht="12" customHeight="1" x14ac:dyDescent="0.25">
      <c r="A909" s="9">
        <v>907</v>
      </c>
      <c r="B909" s="14" t="s">
        <v>2192</v>
      </c>
      <c r="C909" s="14" t="s">
        <v>2193</v>
      </c>
      <c r="D909" s="13" t="s">
        <v>36</v>
      </c>
      <c r="E909" s="15" t="str">
        <f t="shared" si="21"/>
        <v>Lorazepam</v>
      </c>
      <c r="F909" s="12">
        <f>DATE(2023,6,22)</f>
        <v>45099</v>
      </c>
      <c r="G909" s="13">
        <v>1977</v>
      </c>
      <c r="H909" s="13">
        <v>1</v>
      </c>
      <c r="I909" s="15" t="s">
        <v>100</v>
      </c>
      <c r="J909" s="15" t="s">
        <v>204</v>
      </c>
    </row>
    <row r="910" spans="1:10" s="14" customFormat="1" ht="12" customHeight="1" x14ac:dyDescent="0.25">
      <c r="A910" s="9">
        <v>908</v>
      </c>
      <c r="B910" s="14" t="s">
        <v>2194</v>
      </c>
      <c r="C910" s="14" t="s">
        <v>2195</v>
      </c>
      <c r="D910" s="13" t="s">
        <v>31</v>
      </c>
      <c r="E910" s="15" t="str">
        <f t="shared" si="21"/>
        <v>Lorcaserin</v>
      </c>
      <c r="F910" s="12">
        <f>DATE(2020,6,5)</f>
        <v>43987</v>
      </c>
      <c r="G910" s="13">
        <v>2012</v>
      </c>
      <c r="H910" s="13">
        <v>1</v>
      </c>
      <c r="I910" s="15" t="s">
        <v>520</v>
      </c>
      <c r="J910" s="15" t="s">
        <v>521</v>
      </c>
    </row>
    <row r="911" spans="1:10" s="14" customFormat="1" ht="12" customHeight="1" x14ac:dyDescent="0.3">
      <c r="A911" s="9">
        <v>909</v>
      </c>
      <c r="B911" s="14" t="s">
        <v>2196</v>
      </c>
      <c r="C911" s="23" t="s">
        <v>2197</v>
      </c>
      <c r="D911" s="13" t="s">
        <v>23</v>
      </c>
      <c r="E911" s="15" t="str">
        <f t="shared" si="21"/>
        <v>Lorlatinib</v>
      </c>
      <c r="F911" s="12">
        <f>DATE(2019,1,15)</f>
        <v>43480</v>
      </c>
      <c r="G911" s="13">
        <v>2018</v>
      </c>
      <c r="H911" s="13">
        <v>1</v>
      </c>
      <c r="I911" s="15" t="s">
        <v>24</v>
      </c>
      <c r="J911" s="15" t="s">
        <v>624</v>
      </c>
    </row>
    <row r="912" spans="1:10" s="14" customFormat="1" ht="12" customHeight="1" x14ac:dyDescent="0.25">
      <c r="A912" s="9">
        <v>910</v>
      </c>
      <c r="B912" s="14" t="s">
        <v>2198</v>
      </c>
      <c r="C912" s="14" t="s">
        <v>2199</v>
      </c>
      <c r="D912" s="13" t="s">
        <v>14</v>
      </c>
      <c r="E912" s="15" t="str">
        <f t="shared" si="21"/>
        <v>Losartan</v>
      </c>
      <c r="F912" s="12">
        <f>DATE(2017,1,13)</f>
        <v>42748</v>
      </c>
      <c r="G912" s="13">
        <v>1995</v>
      </c>
      <c r="H912" s="13">
        <v>1</v>
      </c>
      <c r="I912" s="15" t="s">
        <v>49</v>
      </c>
      <c r="J912" s="15" t="s">
        <v>50</v>
      </c>
    </row>
    <row r="913" spans="1:35" s="14" customFormat="1" ht="12" customHeight="1" x14ac:dyDescent="0.25">
      <c r="A913" s="9">
        <v>911</v>
      </c>
      <c r="B913" s="14" t="s">
        <v>2200</v>
      </c>
      <c r="C913" s="14" t="s">
        <v>2201</v>
      </c>
      <c r="D913" s="13" t="s">
        <v>44</v>
      </c>
      <c r="E913" s="15" t="str">
        <f t="shared" si="21"/>
        <v>Lovastatin</v>
      </c>
      <c r="F913" s="12">
        <f>DATE(2017,8,5)</f>
        <v>42952</v>
      </c>
      <c r="G913" s="13">
        <v>1987</v>
      </c>
      <c r="H913" s="13">
        <v>1</v>
      </c>
      <c r="I913" s="15" t="s">
        <v>49</v>
      </c>
      <c r="J913" s="15" t="s">
        <v>161</v>
      </c>
    </row>
    <row r="914" spans="1:35" s="14" customFormat="1" ht="12" customHeight="1" x14ac:dyDescent="0.25">
      <c r="A914" s="9">
        <v>912</v>
      </c>
      <c r="B914" s="14" t="s">
        <v>2202</v>
      </c>
      <c r="C914" s="14" t="s">
        <v>2203</v>
      </c>
      <c r="D914" s="13" t="s">
        <v>36</v>
      </c>
      <c r="E914" s="15" t="str">
        <f t="shared" si="21"/>
        <v>Loxapine</v>
      </c>
      <c r="F914" s="12">
        <f>DATE(2019,6,3)</f>
        <v>43619</v>
      </c>
      <c r="G914" s="13">
        <v>1976</v>
      </c>
      <c r="H914" s="13">
        <v>1</v>
      </c>
      <c r="I914" s="15" t="s">
        <v>100</v>
      </c>
      <c r="J914" s="15" t="s">
        <v>328</v>
      </c>
    </row>
    <row r="915" spans="1:35" s="14" customFormat="1" ht="12" customHeight="1" x14ac:dyDescent="0.25">
      <c r="A915" s="9">
        <v>913</v>
      </c>
      <c r="B915" s="14" t="s">
        <v>2204</v>
      </c>
      <c r="C915" s="14" t="s">
        <v>2205</v>
      </c>
      <c r="D915" s="13" t="s">
        <v>31</v>
      </c>
      <c r="E915" s="15" t="str">
        <f t="shared" si="21"/>
        <v>Lubiprostone</v>
      </c>
      <c r="F915" s="12">
        <f>DATE(2019,5,3)</f>
        <v>43588</v>
      </c>
      <c r="G915" s="13">
        <v>2006</v>
      </c>
      <c r="H915" s="13">
        <v>1</v>
      </c>
      <c r="I915" s="15" t="s">
        <v>182</v>
      </c>
      <c r="J915" s="15" t="s">
        <v>183</v>
      </c>
    </row>
    <row r="916" spans="1:35" s="14" customFormat="1" ht="12" customHeight="1" x14ac:dyDescent="0.25">
      <c r="A916" s="9">
        <v>914</v>
      </c>
      <c r="B916" s="14" t="s">
        <v>2206</v>
      </c>
      <c r="C916" s="14" t="s">
        <v>2207</v>
      </c>
      <c r="D916" s="13" t="s">
        <v>23</v>
      </c>
      <c r="E916" s="15" t="s">
        <v>1189</v>
      </c>
      <c r="F916" s="12">
        <f>DATE(2025,8,28)</f>
        <v>45897</v>
      </c>
      <c r="G916" s="13">
        <v>2015</v>
      </c>
      <c r="H916" s="13">
        <v>1</v>
      </c>
      <c r="I916" s="15" t="s">
        <v>104</v>
      </c>
      <c r="J916" s="15" t="s">
        <v>2006</v>
      </c>
    </row>
    <row r="917" spans="1:35" s="14" customFormat="1" ht="12" customHeight="1" x14ac:dyDescent="0.25">
      <c r="A917" s="9">
        <v>915</v>
      </c>
      <c r="B917" s="14" t="s">
        <v>2208</v>
      </c>
      <c r="C917" s="14" t="s">
        <v>2209</v>
      </c>
      <c r="D917" s="13" t="s">
        <v>31</v>
      </c>
      <c r="E917" s="15" t="s">
        <v>2208</v>
      </c>
      <c r="F917" s="12">
        <f>DATE(2025,3,5)</f>
        <v>45721</v>
      </c>
      <c r="G917" s="16">
        <v>2020</v>
      </c>
      <c r="H917" s="13">
        <v>1</v>
      </c>
      <c r="I917" s="15" t="s">
        <v>104</v>
      </c>
      <c r="J917" s="15" t="s">
        <v>2210</v>
      </c>
    </row>
    <row r="918" spans="1:35" s="14" customFormat="1" ht="12" customHeight="1" x14ac:dyDescent="0.25">
      <c r="A918" s="9">
        <v>916</v>
      </c>
      <c r="B918" s="14" t="s">
        <v>2211</v>
      </c>
      <c r="C918" s="14" t="s">
        <v>2212</v>
      </c>
      <c r="D918" s="13" t="s">
        <v>31</v>
      </c>
      <c r="E918" s="15" t="str">
        <f>B918</f>
        <v>Lumateperone</v>
      </c>
      <c r="F918" s="12">
        <f>DATE(2023,6,5)</f>
        <v>45082</v>
      </c>
      <c r="G918" s="13">
        <v>2019</v>
      </c>
      <c r="H918" s="13">
        <v>1</v>
      </c>
      <c r="I918" s="15" t="s">
        <v>100</v>
      </c>
      <c r="J918" s="15" t="s">
        <v>2213</v>
      </c>
    </row>
    <row r="919" spans="1:35" s="14" customFormat="1" ht="12" customHeight="1" x14ac:dyDescent="0.25">
      <c r="A919" s="9">
        <v>917</v>
      </c>
      <c r="B919" s="14" t="s">
        <v>2214</v>
      </c>
      <c r="C919" s="14" t="s">
        <v>342</v>
      </c>
      <c r="D919" s="13" t="s">
        <v>36</v>
      </c>
      <c r="E919" s="15" t="s">
        <v>2215</v>
      </c>
      <c r="F919" s="12">
        <f>DATE(2017,2,8)</f>
        <v>42774</v>
      </c>
      <c r="G919" s="13">
        <v>2009</v>
      </c>
      <c r="H919" s="13">
        <v>1</v>
      </c>
      <c r="I919" s="15" t="s">
        <v>15</v>
      </c>
      <c r="J919" s="15" t="s">
        <v>261</v>
      </c>
    </row>
    <row r="920" spans="1:35" s="14" customFormat="1" ht="12" customHeight="1" x14ac:dyDescent="0.25">
      <c r="A920" s="9">
        <v>918</v>
      </c>
      <c r="B920" s="14" t="s">
        <v>2216</v>
      </c>
      <c r="C920" s="14" t="s">
        <v>2217</v>
      </c>
      <c r="D920" s="13" t="s">
        <v>31</v>
      </c>
      <c r="E920" s="15" t="str">
        <f>B920</f>
        <v>Lurasidone</v>
      </c>
      <c r="F920" s="12">
        <f>DATE(2023,6,5)</f>
        <v>45082</v>
      </c>
      <c r="G920" s="13">
        <v>2010</v>
      </c>
      <c r="H920" s="13">
        <v>1</v>
      </c>
      <c r="I920" s="15" t="s">
        <v>100</v>
      </c>
      <c r="J920" s="15" t="s">
        <v>328</v>
      </c>
    </row>
    <row r="921" spans="1:35" s="14" customFormat="1" ht="12" customHeight="1" x14ac:dyDescent="0.25">
      <c r="A921" s="9">
        <v>919</v>
      </c>
      <c r="B921" s="14" t="s">
        <v>2218</v>
      </c>
      <c r="C921" s="14" t="s">
        <v>2219</v>
      </c>
      <c r="D921" s="13" t="s">
        <v>36</v>
      </c>
      <c r="E921" s="15" t="s">
        <v>2220</v>
      </c>
      <c r="F921" s="12">
        <f>DATE(2022,11,29)</f>
        <v>44894</v>
      </c>
      <c r="G921" s="13">
        <v>2020</v>
      </c>
      <c r="H921" s="13">
        <v>1</v>
      </c>
      <c r="I921" s="15" t="s">
        <v>24</v>
      </c>
      <c r="J921" s="15" t="s">
        <v>2221</v>
      </c>
    </row>
    <row r="922" spans="1:35" s="14" customFormat="1" ht="12" customHeight="1" x14ac:dyDescent="0.25">
      <c r="A922" s="9">
        <v>920</v>
      </c>
      <c r="B922" s="14" t="s">
        <v>2222</v>
      </c>
      <c r="C922" s="14" t="s">
        <v>2223</v>
      </c>
      <c r="D922" s="13" t="s">
        <v>23</v>
      </c>
      <c r="E922" s="15" t="str">
        <f>B922</f>
        <v>Luspatercept</v>
      </c>
      <c r="F922" s="12">
        <f>DATE(2023,7,27)</f>
        <v>45134</v>
      </c>
      <c r="G922" s="13">
        <v>2019</v>
      </c>
      <c r="H922" s="13">
        <v>1</v>
      </c>
      <c r="I922" s="15" t="s">
        <v>230</v>
      </c>
      <c r="J922" s="15" t="s">
        <v>2224</v>
      </c>
    </row>
    <row r="923" spans="1:35" s="14" customFormat="1" ht="12" customHeight="1" x14ac:dyDescent="0.25">
      <c r="A923" s="9">
        <v>921</v>
      </c>
      <c r="B923" s="14" t="s">
        <v>2225</v>
      </c>
      <c r="C923" s="14" t="s">
        <v>2226</v>
      </c>
      <c r="D923" s="13" t="s">
        <v>23</v>
      </c>
      <c r="E923" s="15" t="s">
        <v>420</v>
      </c>
      <c r="F923" s="12">
        <f>DATE(2018,12,18)</f>
        <v>43452</v>
      </c>
      <c r="G923" s="13">
        <v>2018</v>
      </c>
      <c r="H923" s="13">
        <v>1</v>
      </c>
      <c r="I923" s="15" t="s">
        <v>230</v>
      </c>
      <c r="J923" s="15" t="s">
        <v>421</v>
      </c>
    </row>
    <row r="924" spans="1:35" s="14" customFormat="1" ht="12" customHeight="1" x14ac:dyDescent="0.25">
      <c r="A924" s="9">
        <v>922</v>
      </c>
      <c r="B924" s="14" t="s">
        <v>2227</v>
      </c>
      <c r="C924" s="14" t="s">
        <v>2228</v>
      </c>
      <c r="D924" s="13" t="s">
        <v>31</v>
      </c>
      <c r="E924" s="15" t="s">
        <v>904</v>
      </c>
      <c r="F924" s="12">
        <f>DATE(2018,3,26)</f>
        <v>43185</v>
      </c>
      <c r="G924" s="13">
        <v>2004</v>
      </c>
      <c r="H924" s="13">
        <v>1</v>
      </c>
      <c r="I924" s="15" t="s">
        <v>473</v>
      </c>
      <c r="J924" s="15" t="s">
        <v>905</v>
      </c>
    </row>
    <row r="925" spans="1:35" s="14" customFormat="1" ht="12" customHeight="1" x14ac:dyDescent="0.25">
      <c r="A925" s="9">
        <v>923</v>
      </c>
      <c r="B925" s="14" t="s">
        <v>2229</v>
      </c>
      <c r="C925" s="14" t="s">
        <v>188</v>
      </c>
      <c r="D925" s="13" t="s">
        <v>31</v>
      </c>
      <c r="E925" s="15" t="str">
        <f>B925</f>
        <v>Maca</v>
      </c>
      <c r="F925" s="12">
        <f>DATE(2019,5,1)</f>
        <v>43586</v>
      </c>
      <c r="G925" s="13" t="s">
        <v>174</v>
      </c>
      <c r="H925" s="13">
        <v>1</v>
      </c>
      <c r="I925" s="15" t="s">
        <v>175</v>
      </c>
      <c r="J925" s="15" t="s">
        <v>2230</v>
      </c>
    </row>
    <row r="926" spans="1:35" s="14" customFormat="1" ht="12" customHeight="1" x14ac:dyDescent="0.25">
      <c r="A926" s="9">
        <v>924</v>
      </c>
      <c r="B926" s="14" t="s">
        <v>2231</v>
      </c>
      <c r="C926" s="14" t="s">
        <v>2232</v>
      </c>
      <c r="D926" s="13" t="s">
        <v>77</v>
      </c>
      <c r="E926" s="15"/>
      <c r="F926" s="12"/>
      <c r="G926" s="13">
        <v>2017</v>
      </c>
      <c r="H926" s="13">
        <v>0</v>
      </c>
      <c r="I926" s="15" t="s">
        <v>45</v>
      </c>
      <c r="J926" s="15" t="s">
        <v>2233</v>
      </c>
    </row>
    <row r="927" spans="1:35" s="14" customFormat="1" ht="12" customHeight="1" x14ac:dyDescent="0.25">
      <c r="A927" s="9">
        <v>925</v>
      </c>
      <c r="B927" s="14" t="s">
        <v>2234</v>
      </c>
      <c r="C927" s="14" t="s">
        <v>2235</v>
      </c>
      <c r="D927" s="13" t="s">
        <v>23</v>
      </c>
      <c r="E927" s="15" t="str">
        <f>B927</f>
        <v>Macitentan</v>
      </c>
      <c r="F927" s="12">
        <f>DATE(2017,9,29)</f>
        <v>43007</v>
      </c>
      <c r="G927" s="13">
        <v>2013</v>
      </c>
      <c r="H927" s="13">
        <v>1</v>
      </c>
      <c r="I927" s="15" t="s">
        <v>73</v>
      </c>
      <c r="J927" s="15" t="s">
        <v>2236</v>
      </c>
    </row>
    <row r="928" spans="1:35" s="14" customFormat="1" ht="12" customHeight="1" x14ac:dyDescent="0.25">
      <c r="A928" s="9">
        <v>926</v>
      </c>
      <c r="B928" s="15" t="s">
        <v>2237</v>
      </c>
      <c r="C928" s="14" t="s">
        <v>378</v>
      </c>
      <c r="D928" s="13" t="s">
        <v>31</v>
      </c>
      <c r="E928" s="15" t="s">
        <v>379</v>
      </c>
      <c r="F928" s="12">
        <f>DATE(2024,6,14)</f>
        <v>45457</v>
      </c>
      <c r="G928" s="13">
        <v>2020</v>
      </c>
      <c r="H928" s="13">
        <v>1</v>
      </c>
      <c r="I928" s="15" t="s">
        <v>15</v>
      </c>
      <c r="J928" s="15" t="s">
        <v>380</v>
      </c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s="14" customFormat="1" ht="12" customHeight="1" x14ac:dyDescent="0.25">
      <c r="A929" s="9">
        <v>927</v>
      </c>
      <c r="B929" s="14" t="s">
        <v>2238</v>
      </c>
      <c r="C929" s="14" t="s">
        <v>2239</v>
      </c>
      <c r="D929" s="13" t="s">
        <v>31</v>
      </c>
      <c r="E929" s="15" t="s">
        <v>688</v>
      </c>
      <c r="F929" s="12">
        <f>DATE(2024,3,10)</f>
        <v>45361</v>
      </c>
      <c r="G929" s="13" t="s">
        <v>174</v>
      </c>
      <c r="H929" s="13">
        <v>1</v>
      </c>
      <c r="I929" s="15" t="s">
        <v>190</v>
      </c>
      <c r="J929" s="15" t="s">
        <v>198</v>
      </c>
    </row>
    <row r="930" spans="1:35" s="14" customFormat="1" ht="12" customHeight="1" x14ac:dyDescent="0.25">
      <c r="A930" s="9">
        <v>928</v>
      </c>
      <c r="B930" s="15" t="s">
        <v>2240</v>
      </c>
      <c r="C930" s="14" t="s">
        <v>2241</v>
      </c>
      <c r="D930" s="13" t="s">
        <v>14</v>
      </c>
      <c r="E930" s="15" t="s">
        <v>2242</v>
      </c>
      <c r="F930" s="20">
        <f>DATE(2024,10,5)</f>
        <v>45570</v>
      </c>
      <c r="G930" s="13" t="s">
        <v>174</v>
      </c>
      <c r="H930" s="13">
        <v>1</v>
      </c>
      <c r="I930" s="15" t="s">
        <v>2150</v>
      </c>
      <c r="J930" s="15" t="s">
        <v>2243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s="14" customFormat="1" ht="12" customHeight="1" x14ac:dyDescent="0.25">
      <c r="A931" s="9">
        <v>929</v>
      </c>
      <c r="B931" s="14" t="s">
        <v>2244</v>
      </c>
      <c r="C931" s="14" t="s">
        <v>2245</v>
      </c>
      <c r="D931" s="13" t="s">
        <v>31</v>
      </c>
      <c r="E931" s="15" t="s">
        <v>688</v>
      </c>
      <c r="F931" s="12">
        <f>DATE(2024,3,10)</f>
        <v>45361</v>
      </c>
      <c r="G931" s="13" t="s">
        <v>174</v>
      </c>
      <c r="H931" s="13">
        <v>1</v>
      </c>
      <c r="I931" s="15" t="s">
        <v>190</v>
      </c>
      <c r="J931" s="15" t="s">
        <v>198</v>
      </c>
    </row>
    <row r="932" spans="1:35" s="14" customFormat="1" ht="12" customHeight="1" x14ac:dyDescent="0.25">
      <c r="A932" s="9">
        <v>930</v>
      </c>
      <c r="B932" s="14" t="s">
        <v>2246</v>
      </c>
      <c r="C932" s="14" t="s">
        <v>2247</v>
      </c>
      <c r="D932" s="13" t="s">
        <v>77</v>
      </c>
      <c r="E932" s="15"/>
      <c r="F932" s="12"/>
      <c r="G932" s="13">
        <v>1980</v>
      </c>
      <c r="H932" s="13">
        <v>0</v>
      </c>
      <c r="I932" s="15" t="s">
        <v>100</v>
      </c>
      <c r="J932" s="15" t="s">
        <v>250</v>
      </c>
    </row>
    <row r="933" spans="1:35" s="14" customFormat="1" ht="12" customHeight="1" x14ac:dyDescent="0.25">
      <c r="A933" s="9">
        <v>931</v>
      </c>
      <c r="B933" s="14" t="s">
        <v>2248</v>
      </c>
      <c r="C933" s="14" t="s">
        <v>2249</v>
      </c>
      <c r="D933" s="13" t="s">
        <v>23</v>
      </c>
      <c r="E933" s="15" t="s">
        <v>2248</v>
      </c>
      <c r="F933" s="12">
        <f>DATE(2022,3,25)</f>
        <v>44645</v>
      </c>
      <c r="G933" s="16">
        <v>2021</v>
      </c>
      <c r="H933" s="13">
        <v>1</v>
      </c>
      <c r="I933" s="15" t="s">
        <v>182</v>
      </c>
      <c r="J933" s="15" t="s">
        <v>2250</v>
      </c>
    </row>
    <row r="934" spans="1:35" s="14" customFormat="1" ht="12" customHeight="1" x14ac:dyDescent="0.25">
      <c r="A934" s="9">
        <v>932</v>
      </c>
      <c r="B934" s="14" t="s">
        <v>2251</v>
      </c>
      <c r="C934" s="14" t="s">
        <v>2252</v>
      </c>
      <c r="D934" s="13" t="s">
        <v>36</v>
      </c>
      <c r="E934" s="15" t="str">
        <f>B934</f>
        <v>Maraviroc</v>
      </c>
      <c r="F934" s="12">
        <f>DATE(2019,6,6)</f>
        <v>43622</v>
      </c>
      <c r="G934" s="13">
        <v>2007</v>
      </c>
      <c r="H934" s="13">
        <v>1</v>
      </c>
      <c r="I934" s="15" t="s">
        <v>15</v>
      </c>
      <c r="J934" s="15" t="s">
        <v>16</v>
      </c>
    </row>
    <row r="935" spans="1:35" s="14" customFormat="1" ht="12" customHeight="1" x14ac:dyDescent="0.25">
      <c r="A935" s="9">
        <v>933</v>
      </c>
      <c r="B935" s="14" t="s">
        <v>2253</v>
      </c>
      <c r="C935" s="14" t="s">
        <v>2254</v>
      </c>
      <c r="D935" s="13" t="s">
        <v>31</v>
      </c>
      <c r="E935" s="15" t="s">
        <v>2253</v>
      </c>
      <c r="F935" s="12">
        <f>DATE(2024,7,5)</f>
        <v>45478</v>
      </c>
      <c r="G935" s="16">
        <v>2020</v>
      </c>
      <c r="H935" s="13">
        <v>1</v>
      </c>
      <c r="I935" s="15" t="s">
        <v>24</v>
      </c>
      <c r="J935" s="15" t="s">
        <v>2255</v>
      </c>
    </row>
    <row r="936" spans="1:35" s="14" customFormat="1" ht="12" customHeight="1" x14ac:dyDescent="0.25">
      <c r="A936" s="9">
        <v>934</v>
      </c>
      <c r="B936" s="14" t="s">
        <v>2256</v>
      </c>
      <c r="C936" s="14" t="s">
        <v>188</v>
      </c>
      <c r="D936" s="13" t="s">
        <v>14</v>
      </c>
      <c r="E936" s="15" t="str">
        <f>B936</f>
        <v>Margosa Oil</v>
      </c>
      <c r="F936" s="12">
        <f>DATE(2020,2,9)</f>
        <v>43870</v>
      </c>
      <c r="G936" s="13" t="s">
        <v>174</v>
      </c>
      <c r="H936" s="13">
        <v>1</v>
      </c>
      <c r="I936" s="15" t="s">
        <v>175</v>
      </c>
      <c r="J936" s="15" t="s">
        <v>128</v>
      </c>
    </row>
    <row r="937" spans="1:35" s="14" customFormat="1" ht="12" customHeight="1" x14ac:dyDescent="0.25">
      <c r="A937" s="9">
        <v>935</v>
      </c>
      <c r="B937" s="14" t="s">
        <v>2257</v>
      </c>
      <c r="C937" s="14" t="s">
        <v>2258</v>
      </c>
      <c r="D937" s="13" t="s">
        <v>31</v>
      </c>
      <c r="E937" s="15" t="s">
        <v>2257</v>
      </c>
      <c r="F937" s="12">
        <f>DATE(2022,11,20)</f>
        <v>44885</v>
      </c>
      <c r="G937" s="16">
        <v>2021</v>
      </c>
      <c r="H937" s="13">
        <v>1</v>
      </c>
      <c r="I937" s="15" t="s">
        <v>15</v>
      </c>
      <c r="J937" s="15" t="s">
        <v>2259</v>
      </c>
    </row>
    <row r="938" spans="1:35" s="14" customFormat="1" ht="12" customHeight="1" x14ac:dyDescent="0.25">
      <c r="A938" s="9">
        <v>936</v>
      </c>
      <c r="B938" s="15" t="s">
        <v>2260</v>
      </c>
      <c r="C938" s="15" t="s">
        <v>2261</v>
      </c>
      <c r="D938" s="13" t="s">
        <v>31</v>
      </c>
      <c r="E938" s="15" t="s">
        <v>2260</v>
      </c>
      <c r="F938" s="22">
        <f>DATE(2023,2,16)</f>
        <v>44973</v>
      </c>
      <c r="G938" s="13" t="s">
        <v>174</v>
      </c>
      <c r="H938" s="13">
        <v>1</v>
      </c>
      <c r="I938" s="15" t="s">
        <v>175</v>
      </c>
      <c r="J938" s="15" t="s">
        <v>2262</v>
      </c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s="14" customFormat="1" ht="12" customHeight="1" x14ac:dyDescent="0.25">
      <c r="A939" s="9">
        <v>937</v>
      </c>
      <c r="B939" s="14" t="s">
        <v>2263</v>
      </c>
      <c r="C939" s="14" t="s">
        <v>2264</v>
      </c>
      <c r="D939" s="13" t="s">
        <v>77</v>
      </c>
      <c r="E939" s="14" t="s">
        <v>2263</v>
      </c>
      <c r="F939" s="12"/>
      <c r="G939" s="13">
        <v>2024</v>
      </c>
      <c r="H939" s="13">
        <v>0</v>
      </c>
      <c r="I939" s="14" t="s">
        <v>230</v>
      </c>
      <c r="J939" s="14" t="s">
        <v>996</v>
      </c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s="14" customFormat="1" ht="12" customHeight="1" x14ac:dyDescent="0.25">
      <c r="A940" s="9">
        <v>938</v>
      </c>
      <c r="B940" s="14" t="s">
        <v>2265</v>
      </c>
      <c r="C940" s="14" t="s">
        <v>2266</v>
      </c>
      <c r="D940" s="13" t="s">
        <v>31</v>
      </c>
      <c r="E940" s="14" t="s">
        <v>2265</v>
      </c>
      <c r="F940" s="22">
        <f>DATE(2026,1,30)</f>
        <v>46052</v>
      </c>
      <c r="G940" s="13">
        <v>2022</v>
      </c>
      <c r="H940" s="13">
        <v>0</v>
      </c>
      <c r="I940" s="15" t="s">
        <v>49</v>
      </c>
      <c r="J940" s="15" t="s">
        <v>2267</v>
      </c>
      <c r="K940" s="13"/>
      <c r="L940" s="13"/>
    </row>
    <row r="941" spans="1:35" s="14" customFormat="1" ht="12" customHeight="1" x14ac:dyDescent="0.25">
      <c r="A941" s="9">
        <v>939</v>
      </c>
      <c r="B941" s="14" t="s">
        <v>2268</v>
      </c>
      <c r="C941" s="14" t="s">
        <v>2269</v>
      </c>
      <c r="D941" s="13" t="s">
        <v>77</v>
      </c>
      <c r="E941" s="14" t="s">
        <v>2268</v>
      </c>
      <c r="F941" s="12"/>
      <c r="G941" s="13">
        <v>2024</v>
      </c>
      <c r="H941" s="13">
        <v>0</v>
      </c>
      <c r="I941" s="14" t="s">
        <v>324</v>
      </c>
      <c r="J941" s="14" t="s">
        <v>2270</v>
      </c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s="14" customFormat="1" ht="12" customHeight="1" x14ac:dyDescent="0.25">
      <c r="A942" s="9">
        <v>940</v>
      </c>
      <c r="B942" s="14" t="s">
        <v>2271</v>
      </c>
      <c r="C942" s="14" t="s">
        <v>2272</v>
      </c>
      <c r="D942" s="13" t="s">
        <v>36</v>
      </c>
      <c r="E942" s="15" t="str">
        <f>B942</f>
        <v>Mebendazole</v>
      </c>
      <c r="F942" s="12">
        <f>DATE(2019,6,6)</f>
        <v>43622</v>
      </c>
      <c r="G942" s="13">
        <v>1974</v>
      </c>
      <c r="H942" s="13">
        <v>1</v>
      </c>
      <c r="I942" s="15" t="s">
        <v>15</v>
      </c>
      <c r="J942" s="15" t="s">
        <v>2273</v>
      </c>
    </row>
    <row r="943" spans="1:35" s="14" customFormat="1" ht="12" customHeight="1" x14ac:dyDescent="0.25">
      <c r="A943" s="9">
        <v>941</v>
      </c>
      <c r="B943" s="14" t="s">
        <v>2274</v>
      </c>
      <c r="C943" s="14" t="s">
        <v>2275</v>
      </c>
      <c r="D943" s="13" t="s">
        <v>77</v>
      </c>
      <c r="E943" s="15"/>
      <c r="F943" s="12"/>
      <c r="G943" s="13">
        <v>1956</v>
      </c>
      <c r="H943" s="13">
        <v>0</v>
      </c>
      <c r="I943" s="15" t="s">
        <v>49</v>
      </c>
      <c r="J943" s="15" t="s">
        <v>50</v>
      </c>
    </row>
    <row r="944" spans="1:35" s="14" customFormat="1" ht="12" customHeight="1" x14ac:dyDescent="0.25">
      <c r="A944" s="9">
        <v>942</v>
      </c>
      <c r="B944" s="14" t="s">
        <v>2276</v>
      </c>
      <c r="C944" s="14" t="s">
        <v>2277</v>
      </c>
      <c r="D944" s="13" t="s">
        <v>31</v>
      </c>
      <c r="E944" s="15" t="str">
        <f>B944</f>
        <v>Mechlorethamine</v>
      </c>
      <c r="F944" s="12">
        <f>DATE(2019,6,6)</f>
        <v>43622</v>
      </c>
      <c r="G944" s="13">
        <v>1949</v>
      </c>
      <c r="H944" s="13">
        <v>1</v>
      </c>
      <c r="I944" s="15" t="s">
        <v>24</v>
      </c>
      <c r="J944" s="15" t="s">
        <v>132</v>
      </c>
    </row>
    <row r="945" spans="1:10" s="14" customFormat="1" ht="12" customHeight="1" x14ac:dyDescent="0.25">
      <c r="A945" s="9">
        <v>943</v>
      </c>
      <c r="B945" s="14" t="s">
        <v>2278</v>
      </c>
      <c r="C945" s="14" t="s">
        <v>2279</v>
      </c>
      <c r="D945" s="13" t="s">
        <v>31</v>
      </c>
      <c r="E945" s="15" t="str">
        <f>B945</f>
        <v>Meclizine</v>
      </c>
      <c r="F945" s="12">
        <f>DATE(2017,1,17)</f>
        <v>42752</v>
      </c>
      <c r="G945" s="13">
        <v>1957</v>
      </c>
      <c r="H945" s="13">
        <v>1</v>
      </c>
      <c r="I945" s="15" t="s">
        <v>73</v>
      </c>
      <c r="J945" s="15" t="s">
        <v>85</v>
      </c>
    </row>
    <row r="946" spans="1:10" s="14" customFormat="1" ht="12" customHeight="1" x14ac:dyDescent="0.25">
      <c r="A946" s="9">
        <v>944</v>
      </c>
      <c r="B946" s="14" t="s">
        <v>2280</v>
      </c>
      <c r="C946" s="14" t="s">
        <v>2281</v>
      </c>
      <c r="D946" s="13" t="s">
        <v>77</v>
      </c>
      <c r="E946" s="15"/>
      <c r="F946" s="12"/>
      <c r="G946" s="13">
        <v>1980</v>
      </c>
      <c r="H946" s="13">
        <v>0</v>
      </c>
      <c r="I946" s="15" t="s">
        <v>54</v>
      </c>
      <c r="J946" s="15" t="s">
        <v>55</v>
      </c>
    </row>
    <row r="947" spans="1:10" s="14" customFormat="1" ht="12" customHeight="1" x14ac:dyDescent="0.25">
      <c r="A947" s="9">
        <v>945</v>
      </c>
      <c r="B947" s="14" t="s">
        <v>2282</v>
      </c>
      <c r="C947" s="14" t="s">
        <v>2283</v>
      </c>
      <c r="D947" s="13" t="s">
        <v>166</v>
      </c>
      <c r="E947" s="15" t="s">
        <v>1172</v>
      </c>
      <c r="F947" s="12">
        <f>DATE(2020,6,24)</f>
        <v>44006</v>
      </c>
      <c r="G947" s="13">
        <v>1959</v>
      </c>
      <c r="H947" s="13">
        <v>1</v>
      </c>
      <c r="I947" s="15" t="s">
        <v>473</v>
      </c>
      <c r="J947" s="15" t="s">
        <v>1173</v>
      </c>
    </row>
    <row r="948" spans="1:10" s="10" customFormat="1" ht="12" customHeight="1" x14ac:dyDescent="0.25">
      <c r="A948" s="9">
        <v>946</v>
      </c>
      <c r="B948" s="10" t="s">
        <v>2284</v>
      </c>
      <c r="C948" s="10" t="s">
        <v>2285</v>
      </c>
      <c r="D948" s="9" t="s">
        <v>36</v>
      </c>
      <c r="E948" s="11" t="str">
        <f>B948</f>
        <v>Mefenamic acid</v>
      </c>
      <c r="F948" s="12">
        <f>DATE(2025,8,10)</f>
        <v>45879</v>
      </c>
      <c r="G948" s="9">
        <v>1967</v>
      </c>
      <c r="H948" s="9">
        <v>1</v>
      </c>
      <c r="I948" s="11" t="s">
        <v>54</v>
      </c>
      <c r="J948" s="11" t="s">
        <v>55</v>
      </c>
    </row>
    <row r="949" spans="1:10" s="14" customFormat="1" ht="12" customHeight="1" x14ac:dyDescent="0.25">
      <c r="A949" s="9">
        <v>947</v>
      </c>
      <c r="B949" s="14" t="s">
        <v>2286</v>
      </c>
      <c r="C949" s="14" t="s">
        <v>2287</v>
      </c>
      <c r="D949" s="13" t="s">
        <v>36</v>
      </c>
      <c r="E949" s="15" t="str">
        <f>B949</f>
        <v>Mefloquine</v>
      </c>
      <c r="F949" s="12">
        <f>DATE(2017,2,1)</f>
        <v>42767</v>
      </c>
      <c r="G949" s="13">
        <v>1989</v>
      </c>
      <c r="H949" s="13">
        <v>1</v>
      </c>
      <c r="I949" s="15" t="s">
        <v>15</v>
      </c>
      <c r="J949" s="15" t="s">
        <v>261</v>
      </c>
    </row>
    <row r="950" spans="1:10" s="14" customFormat="1" ht="12" customHeight="1" x14ac:dyDescent="0.25">
      <c r="A950" s="9">
        <v>948</v>
      </c>
      <c r="B950" s="14" t="s">
        <v>2288</v>
      </c>
      <c r="C950" s="14" t="s">
        <v>2289</v>
      </c>
      <c r="D950" s="13" t="s">
        <v>166</v>
      </c>
      <c r="E950" s="15" t="s">
        <v>1172</v>
      </c>
      <c r="F950" s="12">
        <f>DATE(2020,6,24)</f>
        <v>44006</v>
      </c>
      <c r="G950" s="13">
        <v>1971</v>
      </c>
      <c r="H950" s="13">
        <v>1</v>
      </c>
      <c r="I950" s="15" t="s">
        <v>473</v>
      </c>
      <c r="J950" s="15" t="s">
        <v>1173</v>
      </c>
    </row>
    <row r="951" spans="1:10" s="14" customFormat="1" ht="12" customHeight="1" x14ac:dyDescent="0.25">
      <c r="A951" s="9">
        <v>949</v>
      </c>
      <c r="B951" s="14" t="s">
        <v>2290</v>
      </c>
      <c r="C951" s="14" t="s">
        <v>188</v>
      </c>
      <c r="D951" s="13" t="s">
        <v>31</v>
      </c>
      <c r="E951" s="15" t="str">
        <f>B951</f>
        <v>Melatonin</v>
      </c>
      <c r="F951" s="12">
        <f>DATE(2020,1,10)</f>
        <v>43840</v>
      </c>
      <c r="G951" s="13" t="s">
        <v>174</v>
      </c>
      <c r="H951" s="13">
        <v>1</v>
      </c>
      <c r="I951" s="15" t="s">
        <v>190</v>
      </c>
      <c r="J951" s="15" t="s">
        <v>204</v>
      </c>
    </row>
    <row r="952" spans="1:10" s="14" customFormat="1" ht="12" customHeight="1" x14ac:dyDescent="0.25">
      <c r="A952" s="9">
        <v>950</v>
      </c>
      <c r="B952" s="14" t="s">
        <v>2291</v>
      </c>
      <c r="C952" s="14" t="s">
        <v>2292</v>
      </c>
      <c r="D952" s="13" t="s">
        <v>44</v>
      </c>
      <c r="E952" s="15" t="str">
        <f>B952</f>
        <v>Meloxicam</v>
      </c>
      <c r="F952" s="12">
        <f>DATE(2025,7,30)</f>
        <v>45868</v>
      </c>
      <c r="G952" s="13">
        <v>2000</v>
      </c>
      <c r="H952" s="13">
        <v>1</v>
      </c>
      <c r="I952" s="15" t="s">
        <v>54</v>
      </c>
      <c r="J952" s="15" t="s">
        <v>55</v>
      </c>
    </row>
    <row r="953" spans="1:10" s="14" customFormat="1" ht="12" customHeight="1" x14ac:dyDescent="0.25">
      <c r="A953" s="9">
        <v>951</v>
      </c>
      <c r="B953" s="14" t="s">
        <v>2293</v>
      </c>
      <c r="C953" s="10" t="s">
        <v>2294</v>
      </c>
      <c r="D953" s="9" t="s">
        <v>654</v>
      </c>
      <c r="E953" s="11" t="str">
        <f>B953</f>
        <v>Melphalan</v>
      </c>
      <c r="F953" s="12">
        <f>DATE(2020,1,10)</f>
        <v>43840</v>
      </c>
      <c r="G953" s="9">
        <v>1964</v>
      </c>
      <c r="H953" s="9">
        <v>1</v>
      </c>
      <c r="I953" s="11" t="s">
        <v>24</v>
      </c>
      <c r="J953" s="11" t="s">
        <v>504</v>
      </c>
    </row>
    <row r="954" spans="1:10" s="14" customFormat="1" ht="12" customHeight="1" x14ac:dyDescent="0.25">
      <c r="A954" s="9">
        <v>952</v>
      </c>
      <c r="B954" s="14" t="s">
        <v>2295</v>
      </c>
      <c r="C954" s="14" t="s">
        <v>2296</v>
      </c>
      <c r="D954" s="13" t="s">
        <v>36</v>
      </c>
      <c r="E954" s="15" t="str">
        <f>B954</f>
        <v>Memantine</v>
      </c>
      <c r="F954" s="20">
        <f>DATE(2020,1,10)</f>
        <v>43840</v>
      </c>
      <c r="G954" s="13">
        <v>2003</v>
      </c>
      <c r="H954" s="13">
        <v>1</v>
      </c>
      <c r="I954" s="15" t="s">
        <v>100</v>
      </c>
      <c r="J954" s="15" t="s">
        <v>101</v>
      </c>
    </row>
    <row r="955" spans="1:10" s="10" customFormat="1" ht="12" customHeight="1" x14ac:dyDescent="0.25">
      <c r="A955" s="9">
        <v>953</v>
      </c>
      <c r="B955" s="10" t="s">
        <v>2297</v>
      </c>
      <c r="C955" s="10" t="s">
        <v>2298</v>
      </c>
      <c r="D955" s="9" t="s">
        <v>31</v>
      </c>
      <c r="E955" s="11" t="s">
        <v>2299</v>
      </c>
      <c r="F955" s="12">
        <f>DATE(2020,1,10)</f>
        <v>43840</v>
      </c>
      <c r="G955" s="9" t="s">
        <v>174</v>
      </c>
      <c r="H955" s="9">
        <v>1</v>
      </c>
      <c r="I955" s="11" t="s">
        <v>190</v>
      </c>
      <c r="J955" s="11" t="s">
        <v>198</v>
      </c>
    </row>
    <row r="956" spans="1:10" s="14" customFormat="1" ht="12" customHeight="1" x14ac:dyDescent="0.3">
      <c r="A956" s="9">
        <v>954</v>
      </c>
      <c r="B956" s="15" t="s">
        <v>2300</v>
      </c>
      <c r="C956" s="19" t="s">
        <v>2301</v>
      </c>
      <c r="D956" s="13" t="s">
        <v>23</v>
      </c>
      <c r="E956" s="15" t="str">
        <f t="shared" ref="E956:E961" si="22">B956</f>
        <v>Mepacrine</v>
      </c>
      <c r="F956" s="12">
        <f>DATE(2017,2,1)</f>
        <v>42767</v>
      </c>
      <c r="G956" s="13">
        <v>1946</v>
      </c>
      <c r="H956" s="13">
        <v>1</v>
      </c>
      <c r="I956" s="15" t="s">
        <v>15</v>
      </c>
      <c r="J956" s="15" t="s">
        <v>261</v>
      </c>
    </row>
    <row r="957" spans="1:10" s="14" customFormat="1" ht="12" customHeight="1" x14ac:dyDescent="0.25">
      <c r="A957" s="9">
        <v>955</v>
      </c>
      <c r="B957" s="14" t="s">
        <v>2302</v>
      </c>
      <c r="C957" s="14" t="s">
        <v>2303</v>
      </c>
      <c r="D957" s="13" t="s">
        <v>31</v>
      </c>
      <c r="E957" s="15" t="str">
        <f t="shared" si="22"/>
        <v>Mepenzolate</v>
      </c>
      <c r="F957" s="12">
        <f>DATE(2017,7,27)</f>
        <v>42943</v>
      </c>
      <c r="G957" s="13">
        <v>1956</v>
      </c>
      <c r="H957" s="13">
        <v>1</v>
      </c>
      <c r="I957" s="15" t="s">
        <v>182</v>
      </c>
      <c r="J957" s="15" t="s">
        <v>1879</v>
      </c>
    </row>
    <row r="958" spans="1:10" s="14" customFormat="1" ht="12" customHeight="1" x14ac:dyDescent="0.25">
      <c r="A958" s="9">
        <v>956</v>
      </c>
      <c r="B958" s="14" t="s">
        <v>2304</v>
      </c>
      <c r="C958" s="14" t="s">
        <v>2305</v>
      </c>
      <c r="D958" s="13" t="s">
        <v>31</v>
      </c>
      <c r="E958" s="15" t="str">
        <f t="shared" si="22"/>
        <v>Meperidine</v>
      </c>
      <c r="F958" s="12">
        <f>DATE(2019,4,25)</f>
        <v>43580</v>
      </c>
      <c r="G958" s="13">
        <v>1942</v>
      </c>
      <c r="H958" s="13">
        <v>1</v>
      </c>
      <c r="I958" s="15" t="s">
        <v>54</v>
      </c>
      <c r="J958" s="15" t="s">
        <v>148</v>
      </c>
    </row>
    <row r="959" spans="1:10" s="14" customFormat="1" ht="12" customHeight="1" x14ac:dyDescent="0.25">
      <c r="A959" s="9">
        <v>957</v>
      </c>
      <c r="B959" s="14" t="s">
        <v>2306</v>
      </c>
      <c r="C959" s="14" t="s">
        <v>2307</v>
      </c>
      <c r="D959" s="16" t="s">
        <v>31</v>
      </c>
      <c r="E959" s="15" t="str">
        <f t="shared" si="22"/>
        <v>Mepivacaine</v>
      </c>
      <c r="F959" s="12">
        <f>DATE(2017,1,20)</f>
        <v>42755</v>
      </c>
      <c r="G959" s="13">
        <v>1960</v>
      </c>
      <c r="H959" s="13">
        <v>1</v>
      </c>
      <c r="I959" s="15" t="s">
        <v>100</v>
      </c>
      <c r="J959" s="15" t="s">
        <v>340</v>
      </c>
    </row>
    <row r="960" spans="1:10" s="14" customFormat="1" ht="12" customHeight="1" x14ac:dyDescent="0.25">
      <c r="A960" s="9">
        <v>958</v>
      </c>
      <c r="B960" s="14" t="s">
        <v>2308</v>
      </c>
      <c r="C960" s="14" t="s">
        <v>2309</v>
      </c>
      <c r="D960" s="13" t="s">
        <v>31</v>
      </c>
      <c r="E960" s="15" t="str">
        <f t="shared" si="22"/>
        <v>Mepolizumab</v>
      </c>
      <c r="F960" s="12">
        <f>DATE(2016,3,12)</f>
        <v>42441</v>
      </c>
      <c r="G960" s="13">
        <v>2015</v>
      </c>
      <c r="H960" s="13">
        <v>1</v>
      </c>
      <c r="I960" s="15" t="s">
        <v>73</v>
      </c>
      <c r="J960" s="15" t="s">
        <v>128</v>
      </c>
    </row>
    <row r="961" spans="1:11" s="14" customFormat="1" ht="12" customHeight="1" x14ac:dyDescent="0.25">
      <c r="A961" s="9">
        <v>959</v>
      </c>
      <c r="B961" s="14" t="s">
        <v>2310</v>
      </c>
      <c r="C961" s="14" t="s">
        <v>2311</v>
      </c>
      <c r="D961" s="13" t="s">
        <v>23</v>
      </c>
      <c r="E961" s="15" t="str">
        <f t="shared" si="22"/>
        <v>Meprobamate</v>
      </c>
      <c r="F961" s="12">
        <f>DATE(2020,1,21)</f>
        <v>43851</v>
      </c>
      <c r="G961" s="13">
        <v>1955</v>
      </c>
      <c r="H961" s="13">
        <v>1</v>
      </c>
      <c r="I961" s="15" t="s">
        <v>100</v>
      </c>
      <c r="J961" s="15" t="s">
        <v>204</v>
      </c>
    </row>
    <row r="962" spans="1:11" s="14" customFormat="1" ht="12" customHeight="1" x14ac:dyDescent="0.25">
      <c r="A962" s="9">
        <v>960</v>
      </c>
      <c r="B962" s="14" t="s">
        <v>2312</v>
      </c>
      <c r="C962" s="14" t="s">
        <v>2313</v>
      </c>
      <c r="D962" s="13" t="s">
        <v>77</v>
      </c>
      <c r="E962" s="15"/>
      <c r="F962" s="12"/>
      <c r="G962" s="13" t="s">
        <v>63</v>
      </c>
      <c r="H962" s="13">
        <v>0</v>
      </c>
      <c r="I962" s="15" t="s">
        <v>54</v>
      </c>
      <c r="J962" s="15" t="s">
        <v>984</v>
      </c>
    </row>
    <row r="963" spans="1:11" s="14" customFormat="1" ht="12" customHeight="1" x14ac:dyDescent="0.25">
      <c r="A963" s="9">
        <v>961</v>
      </c>
      <c r="B963" s="14" t="s">
        <v>2314</v>
      </c>
      <c r="C963" s="14" t="s">
        <v>2315</v>
      </c>
      <c r="D963" s="13" t="s">
        <v>166</v>
      </c>
      <c r="E963" s="15" t="str">
        <f>B963</f>
        <v>Mercaptopurine</v>
      </c>
      <c r="F963" s="12">
        <f>DATE(2017,8,22)</f>
        <v>42969</v>
      </c>
      <c r="G963" s="13">
        <v>1953</v>
      </c>
      <c r="H963" s="13">
        <v>1</v>
      </c>
      <c r="I963" s="15" t="s">
        <v>24</v>
      </c>
      <c r="J963" s="15" t="s">
        <v>504</v>
      </c>
    </row>
    <row r="964" spans="1:11" s="14" customFormat="1" ht="12" customHeight="1" x14ac:dyDescent="0.25">
      <c r="A964" s="9">
        <v>962</v>
      </c>
      <c r="B964" s="14" t="s">
        <v>2316</v>
      </c>
      <c r="C964" s="14" t="s">
        <v>1431</v>
      </c>
      <c r="D964" s="13" t="s">
        <v>31</v>
      </c>
      <c r="E964" s="15" t="s">
        <v>688</v>
      </c>
      <c r="F964" s="12">
        <f>DATE(2019,6,5)</f>
        <v>43621</v>
      </c>
      <c r="G964" s="13" t="s">
        <v>174</v>
      </c>
      <c r="H964" s="13">
        <v>1</v>
      </c>
      <c r="I964" s="15" t="s">
        <v>66</v>
      </c>
      <c r="J964" s="15" t="s">
        <v>689</v>
      </c>
    </row>
    <row r="965" spans="1:11" s="14" customFormat="1" ht="12" customHeight="1" x14ac:dyDescent="0.25">
      <c r="A965" s="9">
        <v>963</v>
      </c>
      <c r="B965" s="14" t="s">
        <v>2317</v>
      </c>
      <c r="C965" s="14" t="s">
        <v>2318</v>
      </c>
      <c r="D965" s="13" t="s">
        <v>36</v>
      </c>
      <c r="E965" s="15" t="str">
        <f>B965</f>
        <v>Meropenem</v>
      </c>
      <c r="F965" s="12">
        <f>DATE(2017,1,15)</f>
        <v>42750</v>
      </c>
      <c r="G965" s="13">
        <v>1996</v>
      </c>
      <c r="H965" s="13">
        <v>1</v>
      </c>
      <c r="I965" s="15" t="s">
        <v>15</v>
      </c>
      <c r="J965" s="15" t="s">
        <v>225</v>
      </c>
    </row>
    <row r="966" spans="1:11" s="14" customFormat="1" ht="12" customHeight="1" x14ac:dyDescent="0.25">
      <c r="A966" s="9">
        <v>964</v>
      </c>
      <c r="B966" s="14" t="s">
        <v>460</v>
      </c>
      <c r="C966" s="14" t="s">
        <v>2319</v>
      </c>
      <c r="D966" s="13" t="s">
        <v>14</v>
      </c>
      <c r="E966" s="15" t="str">
        <f>B966</f>
        <v>Mesalamine</v>
      </c>
      <c r="F966" s="12">
        <f>DATE(2017,9,26)</f>
        <v>43004</v>
      </c>
      <c r="G966" s="13">
        <v>1987</v>
      </c>
      <c r="H966" s="13">
        <v>1</v>
      </c>
      <c r="I966" s="15" t="s">
        <v>182</v>
      </c>
      <c r="J966" s="15" t="s">
        <v>461</v>
      </c>
    </row>
    <row r="967" spans="1:11" s="14" customFormat="1" ht="12" customHeight="1" x14ac:dyDescent="0.25">
      <c r="A967" s="9">
        <v>965</v>
      </c>
      <c r="B967" s="14" t="s">
        <v>2320</v>
      </c>
      <c r="C967" s="14" t="s">
        <v>2321</v>
      </c>
      <c r="D967" s="13" t="s">
        <v>77</v>
      </c>
      <c r="E967" s="15"/>
      <c r="F967" s="12"/>
      <c r="G967" s="13">
        <v>1988</v>
      </c>
      <c r="H967" s="13">
        <v>0</v>
      </c>
      <c r="I967" s="15" t="s">
        <v>66</v>
      </c>
      <c r="J967" s="15" t="s">
        <v>2322</v>
      </c>
    </row>
    <row r="968" spans="1:11" s="14" customFormat="1" ht="12" customHeight="1" x14ac:dyDescent="0.25">
      <c r="A968" s="9">
        <v>966</v>
      </c>
      <c r="B968" s="14" t="s">
        <v>2323</v>
      </c>
      <c r="C968" s="14" t="s">
        <v>2324</v>
      </c>
      <c r="D968" s="13" t="s">
        <v>166</v>
      </c>
      <c r="E968" s="15" t="s">
        <v>1519</v>
      </c>
      <c r="F968" s="12">
        <f>DATE(2020,6,24)</f>
        <v>44006</v>
      </c>
      <c r="G968" s="13">
        <v>1962</v>
      </c>
      <c r="H968" s="13">
        <v>1</v>
      </c>
      <c r="I968" s="15" t="s">
        <v>473</v>
      </c>
      <c r="J968" s="15" t="s">
        <v>1173</v>
      </c>
    </row>
    <row r="969" spans="1:11" s="14" customFormat="1" ht="12" customHeight="1" x14ac:dyDescent="0.25">
      <c r="A969" s="9">
        <v>967</v>
      </c>
      <c r="B969" s="15" t="s">
        <v>2325</v>
      </c>
      <c r="C969" s="14" t="s">
        <v>2326</v>
      </c>
      <c r="D969" s="13" t="s">
        <v>166</v>
      </c>
      <c r="E969" s="15" t="s">
        <v>2325</v>
      </c>
      <c r="F969" s="12">
        <f>DATE(2025,8,10)</f>
        <v>45879</v>
      </c>
      <c r="G969" s="13" t="s">
        <v>174</v>
      </c>
      <c r="H969" s="13">
        <v>1</v>
      </c>
      <c r="I969" s="15" t="s">
        <v>54</v>
      </c>
      <c r="J969" s="15" t="s">
        <v>984</v>
      </c>
      <c r="K969" s="13"/>
    </row>
    <row r="970" spans="1:11" s="14" customFormat="1" ht="12" customHeight="1" x14ac:dyDescent="0.25">
      <c r="A970" s="9">
        <v>968</v>
      </c>
      <c r="B970" s="14" t="s">
        <v>2327</v>
      </c>
      <c r="C970" s="14" t="s">
        <v>188</v>
      </c>
      <c r="D970" s="13" t="s">
        <v>31</v>
      </c>
      <c r="E970" s="15" t="s">
        <v>127</v>
      </c>
      <c r="F970" s="12">
        <f>DATE(2017,9,10)</f>
        <v>42988</v>
      </c>
      <c r="G970" s="13">
        <v>1974</v>
      </c>
      <c r="H970" s="13">
        <v>1</v>
      </c>
      <c r="I970" s="15" t="s">
        <v>73</v>
      </c>
      <c r="J970" s="15" t="s">
        <v>74</v>
      </c>
    </row>
    <row r="971" spans="1:11" s="14" customFormat="1" ht="12" customHeight="1" x14ac:dyDescent="0.25">
      <c r="A971" s="9">
        <v>969</v>
      </c>
      <c r="B971" s="14" t="s">
        <v>2328</v>
      </c>
      <c r="C971" s="14" t="s">
        <v>2329</v>
      </c>
      <c r="D971" s="13" t="s">
        <v>31</v>
      </c>
      <c r="E971" s="15" t="str">
        <f>B971</f>
        <v>Metaxalone</v>
      </c>
      <c r="F971" s="12">
        <f>DATE(2017,1,30)</f>
        <v>42765</v>
      </c>
      <c r="G971" s="13">
        <v>1962</v>
      </c>
      <c r="H971" s="13">
        <v>1</v>
      </c>
      <c r="I971" s="15" t="s">
        <v>100</v>
      </c>
      <c r="J971" s="15" t="s">
        <v>451</v>
      </c>
    </row>
    <row r="972" spans="1:11" s="14" customFormat="1" ht="12" customHeight="1" x14ac:dyDescent="0.25">
      <c r="A972" s="9">
        <v>970</v>
      </c>
      <c r="B972" s="14" t="s">
        <v>2330</v>
      </c>
      <c r="C972" s="14" t="s">
        <v>2331</v>
      </c>
      <c r="D972" s="13" t="s">
        <v>44</v>
      </c>
      <c r="E972" s="15" t="str">
        <f>B972</f>
        <v>Metformin</v>
      </c>
      <c r="F972" s="12">
        <f>DATE(2020,1,10)</f>
        <v>43840</v>
      </c>
      <c r="G972" s="13">
        <v>1995</v>
      </c>
      <c r="H972" s="13">
        <v>1</v>
      </c>
      <c r="I972" s="15" t="s">
        <v>45</v>
      </c>
      <c r="J972" s="15" t="s">
        <v>46</v>
      </c>
    </row>
    <row r="973" spans="1:11" s="14" customFormat="1" ht="12" customHeight="1" x14ac:dyDescent="0.25">
      <c r="A973" s="9">
        <v>971</v>
      </c>
      <c r="B973" s="14" t="s">
        <v>2332</v>
      </c>
      <c r="C973" s="14" t="s">
        <v>2333</v>
      </c>
      <c r="D973" s="13" t="s">
        <v>31</v>
      </c>
      <c r="E973" s="15" t="str">
        <f>B973</f>
        <v>Methadone</v>
      </c>
      <c r="F973" s="12">
        <f>DATE(2019,4,25)</f>
        <v>43580</v>
      </c>
      <c r="G973" s="13">
        <v>1947</v>
      </c>
      <c r="H973" s="13">
        <v>1</v>
      </c>
      <c r="I973" s="15" t="s">
        <v>40</v>
      </c>
      <c r="J973" s="15" t="s">
        <v>655</v>
      </c>
    </row>
    <row r="974" spans="1:11" s="14" customFormat="1" ht="12" customHeight="1" x14ac:dyDescent="0.25">
      <c r="A974" s="9">
        <v>972</v>
      </c>
      <c r="B974" s="14" t="s">
        <v>2334</v>
      </c>
      <c r="C974" s="14" t="s">
        <v>2335</v>
      </c>
      <c r="D974" s="13" t="s">
        <v>53</v>
      </c>
      <c r="E974" s="15" t="s">
        <v>266</v>
      </c>
      <c r="F974" s="12">
        <f>DATE(2021,8,25)</f>
        <v>44433</v>
      </c>
      <c r="G974" s="13">
        <v>1943</v>
      </c>
      <c r="H974" s="13">
        <v>1</v>
      </c>
      <c r="I974" s="15" t="s">
        <v>100</v>
      </c>
      <c r="J974" s="15" t="s">
        <v>383</v>
      </c>
    </row>
    <row r="975" spans="1:11" s="14" customFormat="1" ht="12" customHeight="1" x14ac:dyDescent="0.25">
      <c r="A975" s="9">
        <v>973</v>
      </c>
      <c r="B975" s="14" t="s">
        <v>2336</v>
      </c>
      <c r="C975" s="14" t="s">
        <v>188</v>
      </c>
      <c r="D975" s="13" t="s">
        <v>166</v>
      </c>
      <c r="E975" s="15" t="s">
        <v>1085</v>
      </c>
      <c r="F975" s="12">
        <f>DATE(2020,6,24)</f>
        <v>44006</v>
      </c>
      <c r="G975" s="13" t="s">
        <v>63</v>
      </c>
      <c r="H975" s="13">
        <v>1</v>
      </c>
      <c r="I975" s="15" t="s">
        <v>293</v>
      </c>
      <c r="J975" s="15" t="s">
        <v>294</v>
      </c>
    </row>
    <row r="976" spans="1:11" s="14" customFormat="1" ht="12" customHeight="1" x14ac:dyDescent="0.25">
      <c r="A976" s="9">
        <v>974</v>
      </c>
      <c r="B976" s="14" t="s">
        <v>2337</v>
      </c>
      <c r="C976" s="14" t="s">
        <v>2338</v>
      </c>
      <c r="D976" s="13" t="s">
        <v>36</v>
      </c>
      <c r="E976" s="15" t="s">
        <v>58</v>
      </c>
      <c r="F976" s="12">
        <f>DATE(2017,10,2)</f>
        <v>43010</v>
      </c>
      <c r="G976" s="13">
        <v>1959</v>
      </c>
      <c r="H976" s="13">
        <v>1</v>
      </c>
      <c r="I976" s="15" t="s">
        <v>78</v>
      </c>
      <c r="J976" s="15" t="s">
        <v>2339</v>
      </c>
    </row>
    <row r="977" spans="1:10" s="14" customFormat="1" ht="12" customHeight="1" x14ac:dyDescent="0.25">
      <c r="A977" s="9">
        <v>975</v>
      </c>
      <c r="B977" s="14" t="s">
        <v>2340</v>
      </c>
      <c r="C977" s="14" t="s">
        <v>2341</v>
      </c>
      <c r="D977" s="13" t="s">
        <v>31</v>
      </c>
      <c r="E977" s="15" t="str">
        <f>B977</f>
        <v>Methenamine</v>
      </c>
      <c r="F977" s="12">
        <f>DATE(2021,1,21)</f>
        <v>44217</v>
      </c>
      <c r="G977" s="13">
        <v>1967</v>
      </c>
      <c r="H977" s="13">
        <v>1</v>
      </c>
      <c r="I977" s="15" t="s">
        <v>151</v>
      </c>
      <c r="J977" s="15" t="s">
        <v>1108</v>
      </c>
    </row>
    <row r="978" spans="1:10" s="14" customFormat="1" ht="12" customHeight="1" x14ac:dyDescent="0.25">
      <c r="A978" s="9">
        <v>976</v>
      </c>
      <c r="B978" s="14" t="s">
        <v>2342</v>
      </c>
      <c r="C978" s="14" t="s">
        <v>188</v>
      </c>
      <c r="D978" s="13" t="s">
        <v>166</v>
      </c>
      <c r="E978" s="15" t="s">
        <v>1085</v>
      </c>
      <c r="F978" s="12">
        <f>DATE(2020,6,24)</f>
        <v>44006</v>
      </c>
      <c r="G978" s="13" t="s">
        <v>63</v>
      </c>
      <c r="H978" s="13">
        <v>1</v>
      </c>
      <c r="I978" s="15" t="s">
        <v>293</v>
      </c>
      <c r="J978" s="15" t="s">
        <v>294</v>
      </c>
    </row>
    <row r="979" spans="1:10" s="14" customFormat="1" ht="12" customHeight="1" x14ac:dyDescent="0.25">
      <c r="A979" s="9">
        <v>977</v>
      </c>
      <c r="B979" s="14" t="s">
        <v>2343</v>
      </c>
      <c r="C979" s="14" t="s">
        <v>188</v>
      </c>
      <c r="D979" s="13" t="s">
        <v>77</v>
      </c>
      <c r="E979" s="15" t="s">
        <v>973</v>
      </c>
      <c r="F979" s="12">
        <f>DATE(2018,1,3)</f>
        <v>43103</v>
      </c>
      <c r="G979" s="13" t="s">
        <v>174</v>
      </c>
      <c r="H979" s="13">
        <v>1</v>
      </c>
      <c r="I979" s="15" t="s">
        <v>15</v>
      </c>
      <c r="J979" s="15" t="s">
        <v>225</v>
      </c>
    </row>
    <row r="980" spans="1:10" s="14" customFormat="1" ht="12" customHeight="1" x14ac:dyDescent="0.25">
      <c r="A980" s="9">
        <v>978</v>
      </c>
      <c r="B980" s="14" t="s">
        <v>2344</v>
      </c>
      <c r="C980" s="14" t="s">
        <v>2345</v>
      </c>
      <c r="D980" s="13" t="s">
        <v>166</v>
      </c>
      <c r="E980" s="15" t="str">
        <f>B980</f>
        <v>Methimazole</v>
      </c>
      <c r="F980" s="12">
        <f>DATE(2020,2,14)</f>
        <v>43875</v>
      </c>
      <c r="G980" s="13">
        <v>1950</v>
      </c>
      <c r="H980" s="13">
        <v>1</v>
      </c>
      <c r="I980" s="15" t="s">
        <v>45</v>
      </c>
      <c r="J980" s="15" t="s">
        <v>2346</v>
      </c>
    </row>
    <row r="981" spans="1:10" s="14" customFormat="1" ht="12" customHeight="1" x14ac:dyDescent="0.25">
      <c r="A981" s="9">
        <v>979</v>
      </c>
      <c r="B981" s="14" t="s">
        <v>2347</v>
      </c>
      <c r="C981" s="14" t="s">
        <v>2348</v>
      </c>
      <c r="D981" s="13" t="s">
        <v>31</v>
      </c>
      <c r="E981" s="15" t="str">
        <f>B981</f>
        <v>Methocarbamol</v>
      </c>
      <c r="F981" s="12">
        <f>DATE(2017,1,30)</f>
        <v>42765</v>
      </c>
      <c r="G981" s="13">
        <v>1957</v>
      </c>
      <c r="H981" s="13">
        <v>1</v>
      </c>
      <c r="I981" s="15" t="s">
        <v>100</v>
      </c>
      <c r="J981" s="15" t="s">
        <v>451</v>
      </c>
    </row>
    <row r="982" spans="1:10" s="14" customFormat="1" ht="12" customHeight="1" x14ac:dyDescent="0.25">
      <c r="A982" s="9">
        <v>980</v>
      </c>
      <c r="B982" s="14" t="s">
        <v>2349</v>
      </c>
      <c r="C982" s="14" t="s">
        <v>2350</v>
      </c>
      <c r="D982" s="13" t="s">
        <v>166</v>
      </c>
      <c r="E982" s="15" t="str">
        <f>B982</f>
        <v>Methotrexate</v>
      </c>
      <c r="F982" s="12">
        <f>DATE(2020,2,25)</f>
        <v>43886</v>
      </c>
      <c r="G982" s="13">
        <v>1972</v>
      </c>
      <c r="H982" s="13">
        <v>1</v>
      </c>
      <c r="I982" s="15" t="s">
        <v>24</v>
      </c>
      <c r="J982" s="15" t="s">
        <v>504</v>
      </c>
    </row>
    <row r="983" spans="1:10" s="14" customFormat="1" ht="12" customHeight="1" x14ac:dyDescent="0.25">
      <c r="A983" s="9">
        <v>981</v>
      </c>
      <c r="B983" s="14" t="s">
        <v>2351</v>
      </c>
      <c r="C983" s="14" t="s">
        <v>2352</v>
      </c>
      <c r="D983" s="13" t="s">
        <v>14</v>
      </c>
      <c r="E983" s="15" t="s">
        <v>2353</v>
      </c>
      <c r="F983" s="12">
        <f>DATE(2020,1,16)</f>
        <v>43846</v>
      </c>
      <c r="G983" s="13">
        <v>1954</v>
      </c>
      <c r="H983" s="13">
        <v>1</v>
      </c>
      <c r="I983" s="15" t="s">
        <v>32</v>
      </c>
      <c r="J983" s="15" t="s">
        <v>70</v>
      </c>
    </row>
    <row r="984" spans="1:10" s="14" customFormat="1" ht="12" customHeight="1" x14ac:dyDescent="0.25">
      <c r="A984" s="9">
        <v>982</v>
      </c>
      <c r="B984" s="14" t="s">
        <v>2354</v>
      </c>
      <c r="C984" s="14" t="s">
        <v>2355</v>
      </c>
      <c r="D984" s="13" t="s">
        <v>31</v>
      </c>
      <c r="E984" s="15" t="s">
        <v>2356</v>
      </c>
      <c r="F984" s="12">
        <f>DATE(2017,7,31)</f>
        <v>42947</v>
      </c>
      <c r="G984" s="13">
        <v>1953</v>
      </c>
      <c r="H984" s="13">
        <v>1</v>
      </c>
      <c r="I984" s="15" t="s">
        <v>73</v>
      </c>
      <c r="J984" s="15" t="s">
        <v>85</v>
      </c>
    </row>
    <row r="985" spans="1:10" s="14" customFormat="1" ht="12" customHeight="1" x14ac:dyDescent="0.25">
      <c r="A985" s="9">
        <v>983</v>
      </c>
      <c r="B985" s="14" t="s">
        <v>2357</v>
      </c>
      <c r="C985" s="14" t="s">
        <v>2358</v>
      </c>
      <c r="D985" s="13" t="s">
        <v>23</v>
      </c>
      <c r="E985" s="15" t="str">
        <f>B985</f>
        <v>Methsuximide</v>
      </c>
      <c r="F985" s="12">
        <f>DATE(2016,7,7)</f>
        <v>42558</v>
      </c>
      <c r="G985" s="13">
        <v>1957</v>
      </c>
      <c r="H985" s="13">
        <v>1</v>
      </c>
      <c r="I985" s="15" t="s">
        <v>100</v>
      </c>
      <c r="J985" s="15" t="s">
        <v>630</v>
      </c>
    </row>
    <row r="986" spans="1:10" s="14" customFormat="1" ht="12" customHeight="1" x14ac:dyDescent="0.25">
      <c r="A986" s="9">
        <v>984</v>
      </c>
      <c r="B986" s="14" t="s">
        <v>2359</v>
      </c>
      <c r="C986" s="14" t="s">
        <v>2360</v>
      </c>
      <c r="D986" s="13" t="s">
        <v>31</v>
      </c>
      <c r="E986" s="15" t="str">
        <f>B986</f>
        <v>Methyclothiazide</v>
      </c>
      <c r="F986" s="12">
        <f>DATE(2017,10,2)</f>
        <v>43010</v>
      </c>
      <c r="G986" s="13">
        <v>1961</v>
      </c>
      <c r="H986" s="13">
        <v>1</v>
      </c>
      <c r="I986" s="15" t="s">
        <v>49</v>
      </c>
      <c r="J986" s="15" t="s">
        <v>59</v>
      </c>
    </row>
    <row r="987" spans="1:10" s="14" customFormat="1" ht="12" customHeight="1" x14ac:dyDescent="0.25">
      <c r="A987" s="9">
        <v>985</v>
      </c>
      <c r="B987" s="14" t="s">
        <v>2361</v>
      </c>
      <c r="C987" s="14" t="s">
        <v>2362</v>
      </c>
      <c r="D987" s="13" t="s">
        <v>166</v>
      </c>
      <c r="E987" s="15" t="str">
        <f>B987</f>
        <v>Methyldopa</v>
      </c>
      <c r="F987" s="12">
        <f>DATE(2021,10,3)</f>
        <v>44472</v>
      </c>
      <c r="G987" s="13">
        <v>1962</v>
      </c>
      <c r="H987" s="13">
        <v>1</v>
      </c>
      <c r="I987" s="15" t="s">
        <v>49</v>
      </c>
      <c r="J987" s="15" t="s">
        <v>50</v>
      </c>
    </row>
    <row r="988" spans="1:10" s="14" customFormat="1" ht="12" customHeight="1" x14ac:dyDescent="0.25">
      <c r="A988" s="9">
        <v>986</v>
      </c>
      <c r="B988" s="14" t="s">
        <v>1204</v>
      </c>
      <c r="C988" s="14" t="s">
        <v>2363</v>
      </c>
      <c r="D988" s="13" t="s">
        <v>131</v>
      </c>
      <c r="E988" s="15" t="str">
        <f>B988</f>
        <v>Methylphenidate</v>
      </c>
      <c r="F988" s="12">
        <f>DATE(2021,8,18)</f>
        <v>44426</v>
      </c>
      <c r="G988" s="13">
        <v>1955</v>
      </c>
      <c r="H988" s="13">
        <v>1</v>
      </c>
      <c r="I988" s="15" t="s">
        <v>100</v>
      </c>
      <c r="J988" s="15" t="s">
        <v>383</v>
      </c>
    </row>
    <row r="989" spans="1:10" s="14" customFormat="1" ht="12" customHeight="1" x14ac:dyDescent="0.25">
      <c r="A989" s="9">
        <v>987</v>
      </c>
      <c r="B989" s="14" t="s">
        <v>2364</v>
      </c>
      <c r="C989" s="14" t="s">
        <v>2365</v>
      </c>
      <c r="D989" s="13" t="s">
        <v>53</v>
      </c>
      <c r="E989" s="15" t="s">
        <v>536</v>
      </c>
      <c r="F989" s="12">
        <f>DATE(2021,5,5)</f>
        <v>44321</v>
      </c>
      <c r="G989" s="13">
        <v>1957</v>
      </c>
      <c r="H989" s="13">
        <v>1</v>
      </c>
      <c r="I989" s="15" t="s">
        <v>45</v>
      </c>
      <c r="J989" s="15" t="s">
        <v>291</v>
      </c>
    </row>
    <row r="990" spans="1:10" s="14" customFormat="1" ht="12" customHeight="1" x14ac:dyDescent="0.25">
      <c r="A990" s="9">
        <v>988</v>
      </c>
      <c r="B990" s="14" t="s">
        <v>2366</v>
      </c>
      <c r="C990" s="14" t="s">
        <v>2367</v>
      </c>
      <c r="D990" s="13" t="s">
        <v>166</v>
      </c>
      <c r="E990" s="15" t="s">
        <v>1085</v>
      </c>
      <c r="F990" s="12">
        <f>DATE(2020,6,24)</f>
        <v>44006</v>
      </c>
      <c r="G990" s="13">
        <v>1973</v>
      </c>
      <c r="H990" s="13">
        <v>1</v>
      </c>
      <c r="I990" s="15" t="s">
        <v>45</v>
      </c>
      <c r="J990" s="15" t="s">
        <v>291</v>
      </c>
    </row>
    <row r="991" spans="1:10" s="14" customFormat="1" ht="12" customHeight="1" x14ac:dyDescent="0.25">
      <c r="A991" s="9">
        <v>989</v>
      </c>
      <c r="B991" s="14" t="s">
        <v>2368</v>
      </c>
      <c r="C991" s="14" t="s">
        <v>2369</v>
      </c>
      <c r="D991" s="13" t="s">
        <v>77</v>
      </c>
      <c r="E991" s="15"/>
      <c r="F991" s="12"/>
      <c r="G991" s="13">
        <v>1962</v>
      </c>
      <c r="H991" s="13">
        <v>0</v>
      </c>
      <c r="I991" s="15" t="s">
        <v>100</v>
      </c>
      <c r="J991" s="15" t="s">
        <v>171</v>
      </c>
    </row>
    <row r="992" spans="1:10" s="14" customFormat="1" ht="12" customHeight="1" x14ac:dyDescent="0.25">
      <c r="A992" s="9">
        <v>990</v>
      </c>
      <c r="B992" s="14" t="s">
        <v>2370</v>
      </c>
      <c r="C992" s="14" t="s">
        <v>2371</v>
      </c>
      <c r="D992" s="13" t="s">
        <v>14</v>
      </c>
      <c r="E992" s="15" t="str">
        <f>B992</f>
        <v>Metoclopramide</v>
      </c>
      <c r="F992" s="12">
        <f>DATE(2020,2,9)</f>
        <v>43870</v>
      </c>
      <c r="G992" s="13">
        <v>1980</v>
      </c>
      <c r="H992" s="13">
        <v>1</v>
      </c>
      <c r="I992" s="15" t="s">
        <v>182</v>
      </c>
      <c r="J992" s="15" t="s">
        <v>927</v>
      </c>
    </row>
    <row r="993" spans="1:10" s="14" customFormat="1" ht="12" customHeight="1" x14ac:dyDescent="0.25">
      <c r="A993" s="9">
        <v>991</v>
      </c>
      <c r="B993" s="14" t="s">
        <v>2372</v>
      </c>
      <c r="C993" s="14" t="s">
        <v>2373</v>
      </c>
      <c r="D993" s="13" t="s">
        <v>31</v>
      </c>
      <c r="E993" s="15" t="str">
        <f>B993</f>
        <v>Metolazone</v>
      </c>
      <c r="F993" s="12">
        <f>DATE(2017,10,2)</f>
        <v>43010</v>
      </c>
      <c r="G993" s="13">
        <v>1973</v>
      </c>
      <c r="H993" s="13">
        <v>1</v>
      </c>
      <c r="I993" s="15" t="s">
        <v>49</v>
      </c>
      <c r="J993" s="15" t="s">
        <v>59</v>
      </c>
    </row>
    <row r="994" spans="1:10" s="14" customFormat="1" ht="12" customHeight="1" x14ac:dyDescent="0.25">
      <c r="A994" s="9">
        <v>992</v>
      </c>
      <c r="B994" s="14" t="s">
        <v>2374</v>
      </c>
      <c r="C994" s="14" t="s">
        <v>2375</v>
      </c>
      <c r="D994" s="13" t="s">
        <v>36</v>
      </c>
      <c r="E994" s="15" t="str">
        <f>B994</f>
        <v>Metoprolol</v>
      </c>
      <c r="F994" s="12">
        <f>DATE(2019,5,3)</f>
        <v>43588</v>
      </c>
      <c r="G994" s="13">
        <v>1978</v>
      </c>
      <c r="H994" s="13">
        <v>1</v>
      </c>
      <c r="I994" s="15" t="s">
        <v>49</v>
      </c>
      <c r="J994" s="15" t="s">
        <v>50</v>
      </c>
    </row>
    <row r="995" spans="1:10" s="14" customFormat="1" ht="12" customHeight="1" x14ac:dyDescent="0.25">
      <c r="A995" s="9">
        <v>993</v>
      </c>
      <c r="B995" s="14" t="s">
        <v>2376</v>
      </c>
      <c r="C995" s="14" t="s">
        <v>2377</v>
      </c>
      <c r="D995" s="13" t="s">
        <v>14</v>
      </c>
      <c r="E995" s="15" t="str">
        <f>B995</f>
        <v>Metronidazole</v>
      </c>
      <c r="F995" s="12">
        <f>DATE(2020,2,20)</f>
        <v>43881</v>
      </c>
      <c r="G995" s="13">
        <v>1963</v>
      </c>
      <c r="H995" s="13">
        <v>1</v>
      </c>
      <c r="I995" s="11" t="s">
        <v>15</v>
      </c>
      <c r="J995" s="15" t="s">
        <v>225</v>
      </c>
    </row>
    <row r="996" spans="1:10" s="14" customFormat="1" ht="12" customHeight="1" x14ac:dyDescent="0.25">
      <c r="A996" s="9">
        <v>994</v>
      </c>
      <c r="B996" s="14" t="s">
        <v>2378</v>
      </c>
      <c r="C996" s="14" t="s">
        <v>2379</v>
      </c>
      <c r="D996" s="13" t="s">
        <v>14</v>
      </c>
      <c r="E996" s="15" t="str">
        <f>B996</f>
        <v>Mexiletine</v>
      </c>
      <c r="F996" s="12">
        <f>DATE(2020,2,9)</f>
        <v>43870</v>
      </c>
      <c r="G996" s="13">
        <v>1985</v>
      </c>
      <c r="H996" s="13">
        <v>1</v>
      </c>
      <c r="I996" s="15" t="s">
        <v>49</v>
      </c>
      <c r="J996" s="15" t="s">
        <v>244</v>
      </c>
    </row>
    <row r="997" spans="1:10" s="14" customFormat="1" ht="12" customHeight="1" x14ac:dyDescent="0.25">
      <c r="A997" s="9">
        <v>995</v>
      </c>
      <c r="B997" s="14" t="s">
        <v>2380</v>
      </c>
      <c r="C997" s="14" t="s">
        <v>2381</v>
      </c>
      <c r="D997" s="13" t="s">
        <v>23</v>
      </c>
      <c r="E997" s="15" t="s">
        <v>732</v>
      </c>
      <c r="F997" s="12">
        <f>DATE(2020,10,20)</f>
        <v>44124</v>
      </c>
      <c r="G997" s="13">
        <v>1981</v>
      </c>
      <c r="H997" s="13">
        <v>1</v>
      </c>
      <c r="I997" s="15" t="s">
        <v>15</v>
      </c>
      <c r="J997" s="15" t="s">
        <v>225</v>
      </c>
    </row>
    <row r="998" spans="1:10" s="14" customFormat="1" ht="12" customHeight="1" x14ac:dyDescent="0.25">
      <c r="A998" s="9">
        <v>996</v>
      </c>
      <c r="B998" s="14" t="s">
        <v>2382</v>
      </c>
      <c r="C998" s="14" t="s">
        <v>2383</v>
      </c>
      <c r="D998" s="13" t="s">
        <v>36</v>
      </c>
      <c r="E998" s="15" t="s">
        <v>297</v>
      </c>
      <c r="F998" s="12">
        <f>DATE(2017,7,5)</f>
        <v>42921</v>
      </c>
      <c r="G998" s="13">
        <v>2005</v>
      </c>
      <c r="H998" s="13">
        <v>1</v>
      </c>
      <c r="I998" s="15" t="s">
        <v>15</v>
      </c>
      <c r="J998" s="15" t="s">
        <v>271</v>
      </c>
    </row>
    <row r="999" spans="1:10" s="14" customFormat="1" ht="12" customHeight="1" x14ac:dyDescent="0.25">
      <c r="A999" s="9">
        <v>997</v>
      </c>
      <c r="B999" s="14" t="s">
        <v>2384</v>
      </c>
      <c r="C999" s="14" t="s">
        <v>2385</v>
      </c>
      <c r="D999" s="13" t="s">
        <v>31</v>
      </c>
      <c r="E999" s="15" t="str">
        <f t="shared" ref="E999:E1009" si="23">B999</f>
        <v>Midazolam</v>
      </c>
      <c r="F999" s="12">
        <f>DATE(2023,6,22)</f>
        <v>45099</v>
      </c>
      <c r="G999" s="13">
        <v>1985</v>
      </c>
      <c r="H999" s="13">
        <v>1</v>
      </c>
      <c r="I999" s="15" t="s">
        <v>100</v>
      </c>
      <c r="J999" s="15" t="s">
        <v>204</v>
      </c>
    </row>
    <row r="1000" spans="1:10" s="14" customFormat="1" ht="12" customHeight="1" x14ac:dyDescent="0.25">
      <c r="A1000" s="9">
        <v>998</v>
      </c>
      <c r="B1000" s="14" t="s">
        <v>2386</v>
      </c>
      <c r="C1000" s="14" t="s">
        <v>2387</v>
      </c>
      <c r="D1000" s="13" t="s">
        <v>23</v>
      </c>
      <c r="E1000" s="15" t="str">
        <f t="shared" si="23"/>
        <v>Midostaurin</v>
      </c>
      <c r="F1000" s="12">
        <f>DATE(2019,4,10)</f>
        <v>43565</v>
      </c>
      <c r="G1000" s="13">
        <v>2017</v>
      </c>
      <c r="H1000" s="13">
        <v>1</v>
      </c>
      <c r="I1000" s="15" t="s">
        <v>24</v>
      </c>
      <c r="J1000" s="15" t="s">
        <v>2388</v>
      </c>
    </row>
    <row r="1001" spans="1:10" s="14" customFormat="1" ht="12" customHeight="1" x14ac:dyDescent="0.25">
      <c r="A1001" s="9">
        <v>999</v>
      </c>
      <c r="B1001" s="14" t="s">
        <v>2389</v>
      </c>
      <c r="C1001" s="14" t="s">
        <v>2390</v>
      </c>
      <c r="D1001" s="13" t="s">
        <v>36</v>
      </c>
      <c r="E1001" s="15" t="str">
        <f t="shared" si="23"/>
        <v>Mifepristone</v>
      </c>
      <c r="F1001" s="12">
        <f>DATE(2017,4,1)</f>
        <v>42826</v>
      </c>
      <c r="G1001" s="13">
        <v>2000</v>
      </c>
      <c r="H1001" s="13">
        <v>1</v>
      </c>
      <c r="I1001" s="15" t="s">
        <v>473</v>
      </c>
      <c r="J1001" s="15" t="s">
        <v>2391</v>
      </c>
    </row>
    <row r="1002" spans="1:10" s="14" customFormat="1" ht="12" customHeight="1" x14ac:dyDescent="0.3">
      <c r="A1002" s="9">
        <v>1000</v>
      </c>
      <c r="B1002" s="14" t="s">
        <v>2392</v>
      </c>
      <c r="C1002" s="23" t="s">
        <v>2393</v>
      </c>
      <c r="D1002" s="13" t="s">
        <v>31</v>
      </c>
      <c r="E1002" s="15" t="str">
        <f t="shared" si="23"/>
        <v>Migalastat</v>
      </c>
      <c r="F1002" s="12">
        <f>DATE(2019,2,5)</f>
        <v>43501</v>
      </c>
      <c r="G1002" s="13">
        <v>2018</v>
      </c>
      <c r="H1002" s="13">
        <v>1</v>
      </c>
      <c r="I1002" s="15" t="s">
        <v>104</v>
      </c>
      <c r="J1002" s="15" t="s">
        <v>2394</v>
      </c>
    </row>
    <row r="1003" spans="1:10" s="14" customFormat="1" ht="12" customHeight="1" x14ac:dyDescent="0.25">
      <c r="A1003" s="9">
        <v>1001</v>
      </c>
      <c r="B1003" s="14" t="s">
        <v>2395</v>
      </c>
      <c r="C1003" s="14" t="s">
        <v>2396</v>
      </c>
      <c r="D1003" s="13" t="s">
        <v>31</v>
      </c>
      <c r="E1003" s="15" t="str">
        <f t="shared" si="23"/>
        <v>Miglitol</v>
      </c>
      <c r="F1003" s="12">
        <f>DATE(2021,1,12)</f>
        <v>44208</v>
      </c>
      <c r="G1003" s="13">
        <v>1996</v>
      </c>
      <c r="H1003" s="13">
        <v>1</v>
      </c>
      <c r="I1003" s="15" t="s">
        <v>45</v>
      </c>
      <c r="J1003" s="15" t="s">
        <v>46</v>
      </c>
    </row>
    <row r="1004" spans="1:10" s="14" customFormat="1" ht="12" customHeight="1" x14ac:dyDescent="0.25">
      <c r="A1004" s="9">
        <v>1002</v>
      </c>
      <c r="B1004" s="14" t="s">
        <v>2397</v>
      </c>
      <c r="C1004" s="14" t="s">
        <v>2398</v>
      </c>
      <c r="D1004" s="13" t="s">
        <v>31</v>
      </c>
      <c r="E1004" s="15" t="str">
        <f t="shared" si="23"/>
        <v>Miglustat</v>
      </c>
      <c r="F1004" s="12">
        <f>DATE(2018,3,5)</f>
        <v>43164</v>
      </c>
      <c r="G1004" s="13">
        <v>2003</v>
      </c>
      <c r="H1004" s="13">
        <v>1</v>
      </c>
      <c r="I1004" s="15" t="s">
        <v>104</v>
      </c>
      <c r="J1004" s="15" t="s">
        <v>155</v>
      </c>
    </row>
    <row r="1005" spans="1:10" s="14" customFormat="1" ht="12" customHeight="1" x14ac:dyDescent="0.25">
      <c r="A1005" s="9">
        <v>1003</v>
      </c>
      <c r="B1005" s="14" t="s">
        <v>2399</v>
      </c>
      <c r="C1005" s="14" t="s">
        <v>2400</v>
      </c>
      <c r="D1005" s="13" t="s">
        <v>31</v>
      </c>
      <c r="E1005" s="15" t="str">
        <f t="shared" si="23"/>
        <v>Milk thistle</v>
      </c>
      <c r="F1005" s="12">
        <f>DATE(2020,1,21)</f>
        <v>43851</v>
      </c>
      <c r="G1005" s="13" t="s">
        <v>174</v>
      </c>
      <c r="H1005" s="13">
        <v>1</v>
      </c>
      <c r="I1005" s="15" t="s">
        <v>175</v>
      </c>
      <c r="J1005" s="15" t="s">
        <v>67</v>
      </c>
    </row>
    <row r="1006" spans="1:10" s="10" customFormat="1" ht="12" customHeight="1" x14ac:dyDescent="0.25">
      <c r="A1006" s="9">
        <v>1004</v>
      </c>
      <c r="B1006" s="10" t="s">
        <v>2122</v>
      </c>
      <c r="C1006" s="10" t="s">
        <v>2401</v>
      </c>
      <c r="D1006" s="9" t="s">
        <v>36</v>
      </c>
      <c r="E1006" s="11" t="str">
        <f t="shared" si="23"/>
        <v>Milnacipran</v>
      </c>
      <c r="F1006" s="12">
        <f>DATE(2019,5,20)</f>
        <v>43605</v>
      </c>
      <c r="G1006" s="9">
        <v>2009</v>
      </c>
      <c r="H1006" s="9">
        <v>1</v>
      </c>
      <c r="I1006" s="11" t="s">
        <v>100</v>
      </c>
      <c r="J1006" s="11" t="s">
        <v>250</v>
      </c>
    </row>
    <row r="1007" spans="1:10" s="14" customFormat="1" ht="12" customHeight="1" x14ac:dyDescent="0.25">
      <c r="A1007" s="9">
        <v>1005</v>
      </c>
      <c r="B1007" s="14" t="s">
        <v>2402</v>
      </c>
      <c r="C1007" s="14" t="s">
        <v>2403</v>
      </c>
      <c r="D1007" s="13" t="s">
        <v>31</v>
      </c>
      <c r="E1007" s="15" t="str">
        <f t="shared" si="23"/>
        <v>Miltefosine</v>
      </c>
      <c r="F1007" s="12">
        <f>DATE(2017,3,14)</f>
        <v>42808</v>
      </c>
      <c r="G1007" s="13">
        <v>2014</v>
      </c>
      <c r="H1007" s="13">
        <v>1</v>
      </c>
      <c r="I1007" s="15" t="s">
        <v>15</v>
      </c>
      <c r="J1007" s="15" t="s">
        <v>2404</v>
      </c>
    </row>
    <row r="1008" spans="1:10" s="14" customFormat="1" ht="12" customHeight="1" x14ac:dyDescent="0.25">
      <c r="A1008" s="9">
        <v>1006</v>
      </c>
      <c r="B1008" s="14" t="s">
        <v>2405</v>
      </c>
      <c r="C1008" s="14" t="s">
        <v>2406</v>
      </c>
      <c r="D1008" s="13" t="s">
        <v>166</v>
      </c>
      <c r="E1008" s="15" t="str">
        <f t="shared" si="23"/>
        <v>Minocycline</v>
      </c>
      <c r="F1008" s="12">
        <f>DATE(2019,1,20)</f>
        <v>43485</v>
      </c>
      <c r="G1008" s="13">
        <v>1971</v>
      </c>
      <c r="H1008" s="13">
        <v>1</v>
      </c>
      <c r="I1008" s="15" t="s">
        <v>15</v>
      </c>
      <c r="J1008" s="15" t="s">
        <v>225</v>
      </c>
    </row>
    <row r="1009" spans="1:35" s="14" customFormat="1" ht="12" customHeight="1" x14ac:dyDescent="0.25">
      <c r="A1009" s="9">
        <v>1007</v>
      </c>
      <c r="B1009" s="14" t="s">
        <v>2407</v>
      </c>
      <c r="C1009" s="14" t="s">
        <v>2408</v>
      </c>
      <c r="D1009" s="13" t="s">
        <v>31</v>
      </c>
      <c r="E1009" s="15" t="str">
        <f t="shared" si="23"/>
        <v>Minoxidil</v>
      </c>
      <c r="F1009" s="12">
        <f>DATE(2020,1,28)</f>
        <v>43858</v>
      </c>
      <c r="G1009" s="13">
        <v>1979</v>
      </c>
      <c r="H1009" s="13">
        <v>1</v>
      </c>
      <c r="I1009" s="15" t="s">
        <v>49</v>
      </c>
      <c r="J1009" s="15" t="s">
        <v>50</v>
      </c>
    </row>
    <row r="1010" spans="1:35" s="14" customFormat="1" ht="12" customHeight="1" x14ac:dyDescent="0.25">
      <c r="A1010" s="9">
        <v>1008</v>
      </c>
      <c r="B1010" s="14" t="s">
        <v>2409</v>
      </c>
      <c r="C1010" s="14" t="s">
        <v>2410</v>
      </c>
      <c r="D1010" s="13" t="s">
        <v>36</v>
      </c>
      <c r="E1010" s="15" t="s">
        <v>2411</v>
      </c>
      <c r="F1010" s="20">
        <f>DATE(2017,7,20)</f>
        <v>42936</v>
      </c>
      <c r="G1010" s="13">
        <v>2013</v>
      </c>
      <c r="H1010" s="13">
        <v>1</v>
      </c>
      <c r="I1010" s="15" t="s">
        <v>49</v>
      </c>
      <c r="J1010" s="15" t="s">
        <v>161</v>
      </c>
    </row>
    <row r="1011" spans="1:35" s="14" customFormat="1" ht="12" customHeight="1" x14ac:dyDescent="0.25">
      <c r="A1011" s="9">
        <v>1009</v>
      </c>
      <c r="B1011" s="14" t="s">
        <v>2412</v>
      </c>
      <c r="C1011" s="14" t="s">
        <v>2413</v>
      </c>
      <c r="D1011" s="13" t="s">
        <v>23</v>
      </c>
      <c r="E1011" s="15" t="str">
        <f>B1011</f>
        <v>Mirabegron</v>
      </c>
      <c r="F1011" s="12">
        <f>DATE(2023,7,15)</f>
        <v>45122</v>
      </c>
      <c r="G1011" s="13">
        <v>2012</v>
      </c>
      <c r="H1011" s="13">
        <v>1</v>
      </c>
      <c r="I1011" s="15" t="s">
        <v>151</v>
      </c>
      <c r="J1011" s="15" t="s">
        <v>1108</v>
      </c>
    </row>
    <row r="1012" spans="1:35" s="14" customFormat="1" ht="12" customHeight="1" x14ac:dyDescent="0.3">
      <c r="A1012" s="9">
        <v>1010</v>
      </c>
      <c r="B1012" s="14" t="s">
        <v>2414</v>
      </c>
      <c r="C1012" s="14" t="s">
        <v>2415</v>
      </c>
      <c r="D1012" s="13" t="s">
        <v>77</v>
      </c>
      <c r="E1012" s="14" t="s">
        <v>2414</v>
      </c>
      <c r="F1012" s="9"/>
      <c r="G1012" s="13">
        <v>2025</v>
      </c>
      <c r="H1012" s="16">
        <v>0</v>
      </c>
      <c r="I1012" s="14" t="s">
        <v>104</v>
      </c>
      <c r="J1012" s="14" t="s">
        <v>2416</v>
      </c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</row>
    <row r="1013" spans="1:35" s="14" customFormat="1" ht="12" customHeight="1" x14ac:dyDescent="0.25">
      <c r="A1013" s="9">
        <v>1011</v>
      </c>
      <c r="B1013" s="14" t="s">
        <v>2417</v>
      </c>
      <c r="C1013" s="14" t="s">
        <v>2418</v>
      </c>
      <c r="D1013" s="13" t="s">
        <v>14</v>
      </c>
      <c r="E1013" s="15" t="str">
        <f>B1013</f>
        <v>Mirtazapine</v>
      </c>
      <c r="F1013" s="12">
        <f>DATE(2020,2,26)</f>
        <v>43887</v>
      </c>
      <c r="G1013" s="13">
        <v>1996</v>
      </c>
      <c r="H1013" s="13">
        <v>1</v>
      </c>
      <c r="I1013" s="15" t="s">
        <v>100</v>
      </c>
      <c r="J1013" s="15" t="s">
        <v>328</v>
      </c>
    </row>
    <row r="1014" spans="1:35" s="14" customFormat="1" ht="12" customHeight="1" x14ac:dyDescent="0.25">
      <c r="A1014" s="9">
        <v>1012</v>
      </c>
      <c r="B1014" s="14" t="s">
        <v>2419</v>
      </c>
      <c r="C1014" s="14" t="s">
        <v>2420</v>
      </c>
      <c r="D1014" s="13" t="s">
        <v>77</v>
      </c>
      <c r="E1014" s="14" t="s">
        <v>2419</v>
      </c>
      <c r="F1014" s="9"/>
      <c r="G1014" s="13">
        <v>2022</v>
      </c>
      <c r="H1014" s="13">
        <v>0</v>
      </c>
      <c r="I1014" s="15" t="s">
        <v>24</v>
      </c>
      <c r="J1014" s="15" t="s">
        <v>2421</v>
      </c>
      <c r="K1014" s="13"/>
      <c r="L1014" s="13"/>
    </row>
    <row r="1015" spans="1:35" s="14" customFormat="1" ht="12" customHeight="1" x14ac:dyDescent="0.25">
      <c r="A1015" s="9">
        <v>1013</v>
      </c>
      <c r="B1015" s="14" t="s">
        <v>2422</v>
      </c>
      <c r="C1015" s="14" t="s">
        <v>2423</v>
      </c>
      <c r="D1015" s="13" t="s">
        <v>31</v>
      </c>
      <c r="E1015" s="15" t="s">
        <v>2389</v>
      </c>
      <c r="F1015" s="12">
        <f>DATE(2017,4,1)</f>
        <v>42826</v>
      </c>
      <c r="G1015" s="13">
        <v>1988</v>
      </c>
      <c r="H1015" s="13">
        <v>1</v>
      </c>
      <c r="I1015" s="15" t="s">
        <v>182</v>
      </c>
      <c r="J1015" s="15" t="s">
        <v>918</v>
      </c>
    </row>
    <row r="1016" spans="1:35" s="14" customFormat="1" ht="12" customHeight="1" x14ac:dyDescent="0.25">
      <c r="A1016" s="9">
        <v>1014</v>
      </c>
      <c r="B1016" s="14" t="s">
        <v>2424</v>
      </c>
      <c r="C1016" s="14" t="s">
        <v>188</v>
      </c>
      <c r="D1016" s="13" t="s">
        <v>31</v>
      </c>
      <c r="E1016" s="15" t="s">
        <v>2425</v>
      </c>
      <c r="F1016" s="12">
        <f>DATE(2022,8,8)</f>
        <v>44781</v>
      </c>
      <c r="G1016" s="13" t="s">
        <v>174</v>
      </c>
      <c r="H1016" s="13">
        <v>1</v>
      </c>
      <c r="I1016" s="15" t="s">
        <v>175</v>
      </c>
      <c r="J1016" s="15" t="s">
        <v>2426</v>
      </c>
      <c r="K1016" s="13"/>
    </row>
    <row r="1017" spans="1:35" s="14" customFormat="1" ht="12" customHeight="1" x14ac:dyDescent="0.25">
      <c r="A1017" s="9">
        <v>1015</v>
      </c>
      <c r="B1017" s="14" t="s">
        <v>2427</v>
      </c>
      <c r="C1017" s="14" t="s">
        <v>2428</v>
      </c>
      <c r="D1017" s="13" t="s">
        <v>31</v>
      </c>
      <c r="E1017" s="15" t="s">
        <v>2425</v>
      </c>
      <c r="F1017" s="12">
        <f>DATE(2022,8,8)</f>
        <v>44781</v>
      </c>
      <c r="G1017" s="13" t="s">
        <v>174</v>
      </c>
      <c r="H1017" s="13">
        <v>1</v>
      </c>
      <c r="I1017" s="15" t="s">
        <v>175</v>
      </c>
      <c r="J1017" s="15" t="s">
        <v>2426</v>
      </c>
      <c r="K1017" s="13"/>
    </row>
    <row r="1018" spans="1:35" s="14" customFormat="1" ht="12" customHeight="1" x14ac:dyDescent="0.25">
      <c r="A1018" s="9">
        <v>1016</v>
      </c>
      <c r="B1018" s="14" t="s">
        <v>2429</v>
      </c>
      <c r="C1018" s="14" t="s">
        <v>2430</v>
      </c>
      <c r="D1018" s="13" t="s">
        <v>77</v>
      </c>
      <c r="E1018" s="14" t="s">
        <v>2429</v>
      </c>
      <c r="F1018" s="9"/>
      <c r="G1018" s="13">
        <v>2022</v>
      </c>
      <c r="H1018" s="13">
        <v>0</v>
      </c>
      <c r="I1018" s="15" t="s">
        <v>230</v>
      </c>
      <c r="J1018" s="15" t="s">
        <v>2431</v>
      </c>
      <c r="K1018" s="13"/>
      <c r="L1018" s="13"/>
    </row>
    <row r="1019" spans="1:35" s="14" customFormat="1" ht="12" customHeight="1" x14ac:dyDescent="0.25">
      <c r="A1019" s="9">
        <v>1017</v>
      </c>
      <c r="B1019" s="14" t="s">
        <v>2432</v>
      </c>
      <c r="C1019" s="14" t="s">
        <v>2433</v>
      </c>
      <c r="D1019" s="13" t="s">
        <v>654</v>
      </c>
      <c r="E1019" s="15" t="str">
        <f>B1019</f>
        <v>Mitomycin</v>
      </c>
      <c r="F1019" s="12">
        <f>DATE(2020,2,20)</f>
        <v>43881</v>
      </c>
      <c r="G1019" s="13">
        <v>2002</v>
      </c>
      <c r="H1019" s="13">
        <v>1</v>
      </c>
      <c r="I1019" s="15" t="s">
        <v>24</v>
      </c>
      <c r="J1019" s="15" t="s">
        <v>207</v>
      </c>
    </row>
    <row r="1020" spans="1:35" s="14" customFormat="1" ht="12" customHeight="1" x14ac:dyDescent="0.25">
      <c r="A1020" s="9">
        <v>1018</v>
      </c>
      <c r="B1020" s="14" t="s">
        <v>2434</v>
      </c>
      <c r="C1020" s="14" t="s">
        <v>2435</v>
      </c>
      <c r="D1020" s="13" t="s">
        <v>23</v>
      </c>
      <c r="E1020" s="15" t="str">
        <f>B1020</f>
        <v>Mitotane</v>
      </c>
      <c r="F1020" s="12">
        <f>DATE(2020,2,20)</f>
        <v>43881</v>
      </c>
      <c r="G1020" s="13">
        <v>1970</v>
      </c>
      <c r="H1020" s="13">
        <v>1</v>
      </c>
      <c r="I1020" s="15" t="s">
        <v>24</v>
      </c>
      <c r="J1020" s="15" t="s">
        <v>2436</v>
      </c>
    </row>
    <row r="1021" spans="1:35" s="14" customFormat="1" ht="12" customHeight="1" x14ac:dyDescent="0.25">
      <c r="A1021" s="9">
        <v>1019</v>
      </c>
      <c r="B1021" s="14" t="s">
        <v>2437</v>
      </c>
      <c r="C1021" s="14" t="s">
        <v>2438</v>
      </c>
      <c r="D1021" s="13" t="s">
        <v>36</v>
      </c>
      <c r="E1021" s="15" t="str">
        <f>B1021</f>
        <v>Mitoxantrone</v>
      </c>
      <c r="F1021" s="12">
        <f>DATE(2025,12,4)</f>
        <v>45995</v>
      </c>
      <c r="G1021" s="13">
        <v>1987</v>
      </c>
      <c r="H1021" s="13">
        <v>1</v>
      </c>
      <c r="I1021" s="15" t="s">
        <v>24</v>
      </c>
      <c r="J1021" s="15" t="s">
        <v>132</v>
      </c>
    </row>
    <row r="1022" spans="1:35" s="14" customFormat="1" ht="12" customHeight="1" x14ac:dyDescent="0.25">
      <c r="A1022" s="9">
        <v>1020</v>
      </c>
      <c r="B1022" s="14" t="s">
        <v>2439</v>
      </c>
      <c r="C1022" s="14" t="s">
        <v>2440</v>
      </c>
      <c r="D1022" s="13" t="s">
        <v>31</v>
      </c>
      <c r="E1022" s="15" t="s">
        <v>2439</v>
      </c>
      <c r="F1022" s="12">
        <f>DATE(2023,10,3)</f>
        <v>45202</v>
      </c>
      <c r="G1022" s="16">
        <v>2021</v>
      </c>
      <c r="H1022" s="13">
        <v>1</v>
      </c>
      <c r="I1022" s="15" t="s">
        <v>24</v>
      </c>
      <c r="J1022" s="15" t="s">
        <v>2441</v>
      </c>
    </row>
    <row r="1023" spans="1:35" s="14" customFormat="1" ht="12" customHeight="1" x14ac:dyDescent="0.25">
      <c r="A1023" s="9">
        <v>1021</v>
      </c>
      <c r="B1023" s="14" t="s">
        <v>331</v>
      </c>
      <c r="C1023" s="14" t="s">
        <v>2442</v>
      </c>
      <c r="D1023" s="13" t="s">
        <v>31</v>
      </c>
      <c r="E1023" s="15" t="str">
        <f>B1023</f>
        <v>Modafinil</v>
      </c>
      <c r="F1023" s="12">
        <f>DATE(2021,8,125)</f>
        <v>44533</v>
      </c>
      <c r="G1023" s="13">
        <v>1998</v>
      </c>
      <c r="H1023" s="13">
        <v>1</v>
      </c>
      <c r="I1023" s="15" t="s">
        <v>100</v>
      </c>
      <c r="J1023" s="15" t="s">
        <v>268</v>
      </c>
    </row>
    <row r="1024" spans="1:35" s="14" customFormat="1" ht="12" customHeight="1" x14ac:dyDescent="0.25">
      <c r="A1024" s="9">
        <v>1022</v>
      </c>
      <c r="B1024" s="14" t="s">
        <v>2443</v>
      </c>
      <c r="C1024" s="14" t="s">
        <v>2444</v>
      </c>
      <c r="D1024" s="13" t="s">
        <v>23</v>
      </c>
      <c r="E1024" s="15" t="str">
        <f>B1024</f>
        <v>Moexipril</v>
      </c>
      <c r="F1024" s="12">
        <f>DATE(2017,1,15)</f>
        <v>42750</v>
      </c>
      <c r="G1024" s="13">
        <v>1995</v>
      </c>
      <c r="H1024" s="13">
        <v>1</v>
      </c>
      <c r="I1024" s="15" t="s">
        <v>49</v>
      </c>
      <c r="J1024" s="15" t="s">
        <v>50</v>
      </c>
    </row>
    <row r="1025" spans="1:35" s="14" customFormat="1" ht="12" customHeight="1" x14ac:dyDescent="0.3">
      <c r="A1025" s="9">
        <v>1023</v>
      </c>
      <c r="B1025" s="14" t="s">
        <v>2445</v>
      </c>
      <c r="C1025" s="23" t="s">
        <v>2446</v>
      </c>
      <c r="D1025" s="13" t="s">
        <v>14</v>
      </c>
      <c r="E1025" s="15" t="str">
        <f>B1025</f>
        <v>Mogamulizumab</v>
      </c>
      <c r="F1025" s="12">
        <f>DATE(2019,4,10)</f>
        <v>43565</v>
      </c>
      <c r="G1025" s="13">
        <v>2018</v>
      </c>
      <c r="H1025" s="13">
        <v>1</v>
      </c>
      <c r="I1025" s="15" t="s">
        <v>24</v>
      </c>
      <c r="J1025" s="15" t="s">
        <v>2447</v>
      </c>
    </row>
    <row r="1026" spans="1:35" s="14" customFormat="1" ht="12" customHeight="1" x14ac:dyDescent="0.25">
      <c r="A1026" s="9">
        <v>1024</v>
      </c>
      <c r="B1026" s="14" t="s">
        <v>2448</v>
      </c>
      <c r="C1026" s="14" t="s">
        <v>2449</v>
      </c>
      <c r="D1026" s="13" t="s">
        <v>36</v>
      </c>
      <c r="E1026" s="15" t="str">
        <f>B1026</f>
        <v>Molindone</v>
      </c>
      <c r="F1026" s="12">
        <f>DATE(2020,1,21)</f>
        <v>43851</v>
      </c>
      <c r="G1026" s="13">
        <v>1974</v>
      </c>
      <c r="H1026" s="13">
        <v>1</v>
      </c>
      <c r="I1026" s="15" t="s">
        <v>100</v>
      </c>
      <c r="J1026" s="15" t="s">
        <v>328</v>
      </c>
    </row>
    <row r="1027" spans="1:35" s="14" customFormat="1" ht="12" customHeight="1" x14ac:dyDescent="0.25">
      <c r="A1027" s="9">
        <v>1025</v>
      </c>
      <c r="B1027" s="14" t="s">
        <v>2450</v>
      </c>
      <c r="C1027" s="14" t="s">
        <v>2451</v>
      </c>
      <c r="D1027" s="13" t="s">
        <v>31</v>
      </c>
      <c r="E1027" s="15" t="s">
        <v>2450</v>
      </c>
      <c r="F1027" s="12">
        <f>DATE(2022,1,12)</f>
        <v>44573</v>
      </c>
      <c r="G1027" s="13">
        <v>2021</v>
      </c>
      <c r="H1027" s="13">
        <v>1</v>
      </c>
      <c r="I1027" s="15" t="s">
        <v>15</v>
      </c>
      <c r="J1027" s="15" t="s">
        <v>2452</v>
      </c>
    </row>
    <row r="1028" spans="1:35" s="14" customFormat="1" ht="12" customHeight="1" x14ac:dyDescent="0.25">
      <c r="A1028" s="9">
        <v>1026</v>
      </c>
      <c r="B1028" s="14" t="s">
        <v>2453</v>
      </c>
      <c r="C1028" s="14" t="s">
        <v>335</v>
      </c>
      <c r="D1028" s="13" t="s">
        <v>31</v>
      </c>
      <c r="E1028" s="15" t="s">
        <v>688</v>
      </c>
      <c r="F1028" s="20">
        <f>DATE(2019,6,5)</f>
        <v>43621</v>
      </c>
      <c r="G1028" s="13" t="s">
        <v>174</v>
      </c>
      <c r="H1028" s="13">
        <v>1</v>
      </c>
      <c r="I1028" s="15" t="s">
        <v>66</v>
      </c>
      <c r="J1028" s="15" t="s">
        <v>689</v>
      </c>
    </row>
    <row r="1029" spans="1:35" s="14" customFormat="1" ht="12" customHeight="1" x14ac:dyDescent="0.25">
      <c r="A1029" s="9">
        <v>1027</v>
      </c>
      <c r="B1029" s="14" t="s">
        <v>2454</v>
      </c>
      <c r="C1029" s="14" t="s">
        <v>2455</v>
      </c>
      <c r="D1029" s="13" t="s">
        <v>36</v>
      </c>
      <c r="E1029" s="14" t="s">
        <v>2454</v>
      </c>
      <c r="F1029" s="12">
        <f>DATE(2023,12,28)</f>
        <v>45288</v>
      </c>
      <c r="G1029" s="13">
        <v>2023</v>
      </c>
      <c r="H1029" s="13">
        <v>1</v>
      </c>
      <c r="I1029" s="15" t="s">
        <v>230</v>
      </c>
      <c r="J1029" s="15" t="s">
        <v>2456</v>
      </c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</row>
    <row r="1030" spans="1:35" s="14" customFormat="1" ht="12" customHeight="1" x14ac:dyDescent="0.25">
      <c r="A1030" s="9">
        <v>1028</v>
      </c>
      <c r="B1030" s="14" t="s">
        <v>2457</v>
      </c>
      <c r="C1030" s="14" t="s">
        <v>2458</v>
      </c>
      <c r="D1030" s="13" t="s">
        <v>23</v>
      </c>
      <c r="E1030" s="15" t="s">
        <v>1255</v>
      </c>
      <c r="F1030" s="12">
        <f>DATE(2022,9,9)</f>
        <v>44813</v>
      </c>
      <c r="G1030" s="13">
        <v>2020</v>
      </c>
      <c r="H1030" s="13">
        <v>1</v>
      </c>
      <c r="I1030" s="15" t="s">
        <v>100</v>
      </c>
      <c r="J1030" s="15" t="s">
        <v>1076</v>
      </c>
    </row>
    <row r="1031" spans="1:35" s="14" customFormat="1" ht="12" customHeight="1" x14ac:dyDescent="0.25">
      <c r="A1031" s="9">
        <v>1029</v>
      </c>
      <c r="B1031" s="10" t="s">
        <v>2459</v>
      </c>
      <c r="C1031" s="10" t="s">
        <v>2460</v>
      </c>
      <c r="D1031" s="9" t="s">
        <v>44</v>
      </c>
      <c r="E1031" s="15" t="str">
        <f>B1031</f>
        <v>Montelukast</v>
      </c>
      <c r="F1031" s="12">
        <f>DATE(2019,6,4)</f>
        <v>43620</v>
      </c>
      <c r="G1031" s="13">
        <v>1998</v>
      </c>
      <c r="H1031" s="9">
        <v>1</v>
      </c>
      <c r="I1031" s="11" t="s">
        <v>73</v>
      </c>
      <c r="J1031" s="11" t="s">
        <v>128</v>
      </c>
    </row>
    <row r="1032" spans="1:35" s="14" customFormat="1" ht="12" customHeight="1" x14ac:dyDescent="0.25">
      <c r="A1032" s="9">
        <v>1030</v>
      </c>
      <c r="B1032" s="15" t="s">
        <v>2461</v>
      </c>
      <c r="C1032" s="15" t="s">
        <v>2462</v>
      </c>
      <c r="D1032" s="9" t="s">
        <v>36</v>
      </c>
      <c r="E1032" s="15" t="s">
        <v>2461</v>
      </c>
      <c r="F1032" s="12">
        <f>DATE(2024,7,5)</f>
        <v>45478</v>
      </c>
      <c r="G1032" s="13" t="s">
        <v>174</v>
      </c>
      <c r="H1032" s="13">
        <v>1</v>
      </c>
      <c r="I1032" s="15" t="s">
        <v>175</v>
      </c>
      <c r="J1032" s="15" t="s">
        <v>771</v>
      </c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</row>
    <row r="1033" spans="1:35" s="14" customFormat="1" ht="12" customHeight="1" x14ac:dyDescent="0.25">
      <c r="A1033" s="9">
        <v>1031</v>
      </c>
      <c r="B1033" s="14" t="s">
        <v>2463</v>
      </c>
      <c r="C1033" s="14" t="s">
        <v>2464</v>
      </c>
      <c r="D1033" s="9" t="s">
        <v>31</v>
      </c>
      <c r="E1033" s="15" t="str">
        <f>B1033</f>
        <v>Morphine</v>
      </c>
      <c r="F1033" s="12">
        <f>DATE(2020,11,24)</f>
        <v>44159</v>
      </c>
      <c r="G1033" s="13" t="s">
        <v>2130</v>
      </c>
      <c r="H1033" s="13">
        <v>1</v>
      </c>
      <c r="I1033" s="15" t="s">
        <v>54</v>
      </c>
      <c r="J1033" s="15" t="s">
        <v>148</v>
      </c>
    </row>
    <row r="1034" spans="1:35" s="14" customFormat="1" ht="12" customHeight="1" x14ac:dyDescent="0.25">
      <c r="A1034" s="9">
        <v>1032</v>
      </c>
      <c r="B1034" s="14" t="s">
        <v>2465</v>
      </c>
      <c r="C1034" s="14" t="s">
        <v>2466</v>
      </c>
      <c r="D1034" s="9" t="s">
        <v>77</v>
      </c>
      <c r="E1034" s="14" t="s">
        <v>2465</v>
      </c>
      <c r="F1034" s="9"/>
      <c r="G1034" s="13">
        <v>2022</v>
      </c>
      <c r="H1034" s="13">
        <v>0</v>
      </c>
      <c r="I1034" s="15" t="s">
        <v>24</v>
      </c>
      <c r="J1034" s="15" t="s">
        <v>2467</v>
      </c>
      <c r="K1034" s="13"/>
      <c r="L1034" s="13"/>
    </row>
    <row r="1035" spans="1:35" s="14" customFormat="1" ht="12" customHeight="1" x14ac:dyDescent="0.25">
      <c r="A1035" s="9">
        <v>1033</v>
      </c>
      <c r="B1035" s="14" t="s">
        <v>2468</v>
      </c>
      <c r="C1035" s="14" t="s">
        <v>2455</v>
      </c>
      <c r="D1035" s="9" t="s">
        <v>77</v>
      </c>
      <c r="E1035" s="14" t="s">
        <v>2468</v>
      </c>
      <c r="F1035" s="12"/>
      <c r="G1035" s="13">
        <v>2023</v>
      </c>
      <c r="H1035" s="13">
        <v>0</v>
      </c>
      <c r="I1035" s="15" t="s">
        <v>230</v>
      </c>
      <c r="J1035" s="15" t="s">
        <v>2469</v>
      </c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</row>
    <row r="1036" spans="1:35" s="14" customFormat="1" ht="12" customHeight="1" x14ac:dyDescent="0.25">
      <c r="A1036" s="9">
        <v>1034</v>
      </c>
      <c r="B1036" s="14" t="s">
        <v>2470</v>
      </c>
      <c r="C1036" s="14" t="s">
        <v>2470</v>
      </c>
      <c r="D1036" s="9" t="s">
        <v>14</v>
      </c>
      <c r="E1036" s="15" t="str">
        <f>B1036</f>
        <v>Move Free</v>
      </c>
      <c r="F1036" s="12">
        <f>DATE(2020,2,21)</f>
        <v>43882</v>
      </c>
      <c r="G1036" s="13" t="s">
        <v>174</v>
      </c>
      <c r="H1036" s="13">
        <v>1</v>
      </c>
      <c r="I1036" s="15" t="s">
        <v>2471</v>
      </c>
      <c r="J1036" s="15" t="s">
        <v>769</v>
      </c>
    </row>
    <row r="1037" spans="1:35" s="14" customFormat="1" ht="12" customHeight="1" x14ac:dyDescent="0.3">
      <c r="A1037" s="9">
        <v>1035</v>
      </c>
      <c r="B1037" s="14" t="s">
        <v>2472</v>
      </c>
      <c r="C1037" s="23" t="s">
        <v>2473</v>
      </c>
      <c r="D1037" s="9" t="s">
        <v>23</v>
      </c>
      <c r="E1037" s="15" t="str">
        <f>B1037</f>
        <v>Moxetumomab</v>
      </c>
      <c r="F1037" s="12">
        <f>DATE(2019,4,10)</f>
        <v>43565</v>
      </c>
      <c r="G1037" s="13">
        <v>2018</v>
      </c>
      <c r="H1037" s="13">
        <v>1</v>
      </c>
      <c r="I1037" s="15" t="s">
        <v>24</v>
      </c>
      <c r="J1037" s="15" t="s">
        <v>2474</v>
      </c>
    </row>
    <row r="1038" spans="1:35" s="14" customFormat="1" ht="12" customHeight="1" x14ac:dyDescent="0.25">
      <c r="A1038" s="9">
        <v>1036</v>
      </c>
      <c r="B1038" s="14" t="s">
        <v>2475</v>
      </c>
      <c r="C1038" s="14" t="s">
        <v>2475</v>
      </c>
      <c r="D1038" s="9" t="s">
        <v>77</v>
      </c>
      <c r="E1038" s="15"/>
      <c r="F1038" s="12"/>
      <c r="G1038" s="13">
        <v>2018</v>
      </c>
      <c r="H1038" s="13">
        <v>0</v>
      </c>
      <c r="I1038" s="15" t="s">
        <v>15</v>
      </c>
      <c r="J1038" s="15" t="s">
        <v>2476</v>
      </c>
    </row>
    <row r="1039" spans="1:35" s="14" customFormat="1" ht="12" customHeight="1" x14ac:dyDescent="0.25">
      <c r="A1039" s="9">
        <v>1037</v>
      </c>
      <c r="B1039" s="14" t="s">
        <v>2477</v>
      </c>
      <c r="C1039" s="14" t="s">
        <v>2478</v>
      </c>
      <c r="D1039" s="9" t="s">
        <v>44</v>
      </c>
      <c r="E1039" s="15" t="str">
        <f t="shared" ref="E1039:E1044" si="24">B1039</f>
        <v>Moxifloxacin</v>
      </c>
      <c r="F1039" s="12">
        <f>DATE(2020,3,10)</f>
        <v>43900</v>
      </c>
      <c r="G1039" s="13">
        <v>1999</v>
      </c>
      <c r="H1039" s="13">
        <v>1</v>
      </c>
      <c r="I1039" s="15" t="s">
        <v>15</v>
      </c>
      <c r="J1039" s="15" t="s">
        <v>225</v>
      </c>
    </row>
    <row r="1040" spans="1:35" s="14" customFormat="1" ht="12" customHeight="1" x14ac:dyDescent="0.25">
      <c r="A1040" s="9">
        <v>1038</v>
      </c>
      <c r="B1040" s="14" t="s">
        <v>2479</v>
      </c>
      <c r="C1040" s="14" t="s">
        <v>2480</v>
      </c>
      <c r="D1040" s="9" t="s">
        <v>31</v>
      </c>
      <c r="E1040" s="15" t="str">
        <f t="shared" si="24"/>
        <v>Muromonab</v>
      </c>
      <c r="F1040" s="12">
        <f>DATE(2020,12,28)</f>
        <v>44193</v>
      </c>
      <c r="G1040" s="13">
        <v>1986</v>
      </c>
      <c r="H1040" s="13">
        <v>1</v>
      </c>
      <c r="I1040" s="15" t="s">
        <v>139</v>
      </c>
      <c r="J1040" s="15" t="s">
        <v>140</v>
      </c>
    </row>
    <row r="1041" spans="1:10" s="14" customFormat="1" ht="12" customHeight="1" x14ac:dyDescent="0.25">
      <c r="A1041" s="9">
        <v>1039</v>
      </c>
      <c r="B1041" s="14" t="s">
        <v>2481</v>
      </c>
      <c r="C1041" s="14" t="s">
        <v>2482</v>
      </c>
      <c r="D1041" s="9" t="s">
        <v>36</v>
      </c>
      <c r="E1041" s="15" t="str">
        <f t="shared" si="24"/>
        <v>Mycophenolate</v>
      </c>
      <c r="F1041" s="12">
        <f>DATE(2020,2,14)</f>
        <v>43875</v>
      </c>
      <c r="G1041" s="13">
        <v>1995</v>
      </c>
      <c r="H1041" s="13">
        <v>1</v>
      </c>
      <c r="I1041" s="15" t="s">
        <v>139</v>
      </c>
      <c r="J1041" s="15" t="s">
        <v>140</v>
      </c>
    </row>
    <row r="1042" spans="1:10" s="14" customFormat="1" ht="12" customHeight="1" x14ac:dyDescent="0.25">
      <c r="A1042" s="9">
        <v>1040</v>
      </c>
      <c r="B1042" s="14" t="s">
        <v>2483</v>
      </c>
      <c r="C1042" s="14" t="s">
        <v>2484</v>
      </c>
      <c r="D1042" s="9" t="s">
        <v>31</v>
      </c>
      <c r="E1042" s="15" t="str">
        <f t="shared" si="24"/>
        <v>Nabilone</v>
      </c>
      <c r="F1042" s="12">
        <f>DATE(2021,10,22)</f>
        <v>44491</v>
      </c>
      <c r="G1042" s="13">
        <v>1985</v>
      </c>
      <c r="H1042" s="13">
        <v>1</v>
      </c>
      <c r="I1042" s="15" t="s">
        <v>182</v>
      </c>
      <c r="J1042" s="15" t="s">
        <v>318</v>
      </c>
    </row>
    <row r="1043" spans="1:10" s="14" customFormat="1" ht="12" customHeight="1" x14ac:dyDescent="0.25">
      <c r="A1043" s="9">
        <v>1041</v>
      </c>
      <c r="B1043" s="14" t="s">
        <v>2485</v>
      </c>
      <c r="C1043" s="14" t="s">
        <v>2486</v>
      </c>
      <c r="D1043" s="9" t="s">
        <v>23</v>
      </c>
      <c r="E1043" s="15" t="str">
        <f t="shared" si="24"/>
        <v>Nabumetone</v>
      </c>
      <c r="F1043" s="12">
        <f>DATE(2025,8,10)</f>
        <v>45879</v>
      </c>
      <c r="G1043" s="13">
        <v>1991</v>
      </c>
      <c r="H1043" s="13">
        <v>1</v>
      </c>
      <c r="I1043" s="15" t="s">
        <v>54</v>
      </c>
      <c r="J1043" s="15" t="s">
        <v>55</v>
      </c>
    </row>
    <row r="1044" spans="1:10" s="14" customFormat="1" ht="12" customHeight="1" x14ac:dyDescent="0.25">
      <c r="A1044" s="9">
        <v>1042</v>
      </c>
      <c r="B1044" s="14" t="s">
        <v>2487</v>
      </c>
      <c r="C1044" s="14" t="s">
        <v>2488</v>
      </c>
      <c r="D1044" s="9" t="s">
        <v>31</v>
      </c>
      <c r="E1044" s="15" t="str">
        <f t="shared" si="24"/>
        <v>Nadolol</v>
      </c>
      <c r="F1044" s="12">
        <f>DATE(2019,5,3)</f>
        <v>43588</v>
      </c>
      <c r="G1044" s="13">
        <v>1979</v>
      </c>
      <c r="H1044" s="13">
        <v>1</v>
      </c>
      <c r="I1044" s="15" t="s">
        <v>49</v>
      </c>
      <c r="J1044" s="15" t="s">
        <v>50</v>
      </c>
    </row>
    <row r="1045" spans="1:10" s="14" customFormat="1" ht="12" customHeight="1" x14ac:dyDescent="0.25">
      <c r="A1045" s="9">
        <v>1043</v>
      </c>
      <c r="B1045" s="14" t="s">
        <v>2489</v>
      </c>
      <c r="C1045" s="14" t="s">
        <v>2490</v>
      </c>
      <c r="D1045" s="9" t="s">
        <v>77</v>
      </c>
      <c r="E1045" s="15"/>
      <c r="F1045" s="12"/>
      <c r="G1045" s="13">
        <v>1990</v>
      </c>
      <c r="H1045" s="13">
        <v>0</v>
      </c>
      <c r="I1045" s="15" t="s">
        <v>45</v>
      </c>
      <c r="J1045" s="15" t="s">
        <v>2491</v>
      </c>
    </row>
    <row r="1046" spans="1:10" s="14" customFormat="1" ht="12" customHeight="1" x14ac:dyDescent="0.25">
      <c r="A1046" s="9">
        <v>1044</v>
      </c>
      <c r="B1046" s="14" t="s">
        <v>2492</v>
      </c>
      <c r="C1046" s="14" t="s">
        <v>2493</v>
      </c>
      <c r="D1046" s="9" t="s">
        <v>14</v>
      </c>
      <c r="E1046" s="15" t="str">
        <f>B1046</f>
        <v>Nafcillin</v>
      </c>
      <c r="F1046" s="12">
        <f>DATE(2020,10,20)</f>
        <v>44124</v>
      </c>
      <c r="G1046" s="13">
        <v>1970</v>
      </c>
      <c r="H1046" s="13">
        <v>1</v>
      </c>
      <c r="I1046" s="15" t="s">
        <v>15</v>
      </c>
      <c r="J1046" s="15" t="s">
        <v>225</v>
      </c>
    </row>
    <row r="1047" spans="1:10" s="14" customFormat="1" ht="12" customHeight="1" x14ac:dyDescent="0.25">
      <c r="A1047" s="9">
        <v>1045</v>
      </c>
      <c r="B1047" s="14" t="s">
        <v>2494</v>
      </c>
      <c r="C1047" s="14" t="s">
        <v>2495</v>
      </c>
      <c r="D1047" s="9" t="s">
        <v>77</v>
      </c>
      <c r="E1047" s="15"/>
      <c r="F1047" s="12"/>
      <c r="G1047" s="13">
        <v>1979</v>
      </c>
      <c r="H1047" s="13">
        <v>0</v>
      </c>
      <c r="I1047" s="15" t="s">
        <v>54</v>
      </c>
      <c r="J1047" s="15" t="s">
        <v>984</v>
      </c>
    </row>
    <row r="1048" spans="1:10" s="14" customFormat="1" ht="12" customHeight="1" x14ac:dyDescent="0.25">
      <c r="A1048" s="9">
        <v>1046</v>
      </c>
      <c r="B1048" s="14" t="s">
        <v>2496</v>
      </c>
      <c r="C1048" s="14" t="s">
        <v>2497</v>
      </c>
      <c r="D1048" s="9" t="s">
        <v>31</v>
      </c>
      <c r="E1048" s="15" t="str">
        <f t="shared" ref="E1048:E1053" si="25">B1048</f>
        <v>Naldemedine</v>
      </c>
      <c r="F1048" s="12">
        <f>DATE(2019,4,25)</f>
        <v>43580</v>
      </c>
      <c r="G1048" s="13">
        <v>2017</v>
      </c>
      <c r="H1048" s="13">
        <v>1</v>
      </c>
      <c r="I1048" s="15" t="s">
        <v>182</v>
      </c>
      <c r="J1048" s="15" t="s">
        <v>2498</v>
      </c>
    </row>
    <row r="1049" spans="1:10" s="14" customFormat="1" ht="12" customHeight="1" x14ac:dyDescent="0.25">
      <c r="A1049" s="9">
        <v>1047</v>
      </c>
      <c r="B1049" s="14" t="s">
        <v>2499</v>
      </c>
      <c r="C1049" s="14" t="s">
        <v>2500</v>
      </c>
      <c r="D1049" s="9" t="s">
        <v>31</v>
      </c>
      <c r="E1049" s="15" t="str">
        <f t="shared" si="25"/>
        <v>Nalmefene</v>
      </c>
      <c r="F1049" s="12">
        <f>DATE(2020,3,30)</f>
        <v>43920</v>
      </c>
      <c r="G1049" s="13">
        <v>1995</v>
      </c>
      <c r="H1049" s="13">
        <v>1</v>
      </c>
      <c r="I1049" s="15" t="s">
        <v>40</v>
      </c>
      <c r="J1049" s="15" t="s">
        <v>655</v>
      </c>
    </row>
    <row r="1050" spans="1:10" s="14" customFormat="1" ht="12" customHeight="1" x14ac:dyDescent="0.25">
      <c r="A1050" s="9">
        <v>1048</v>
      </c>
      <c r="B1050" s="14" t="s">
        <v>2501</v>
      </c>
      <c r="C1050" s="14" t="s">
        <v>2502</v>
      </c>
      <c r="D1050" s="9" t="s">
        <v>31</v>
      </c>
      <c r="E1050" s="15" t="str">
        <f t="shared" si="25"/>
        <v>Naloxegol</v>
      </c>
      <c r="F1050" s="12">
        <f>DATE(2020,3,30)</f>
        <v>43920</v>
      </c>
      <c r="G1050" s="13">
        <v>2014</v>
      </c>
      <c r="H1050" s="13">
        <v>1</v>
      </c>
      <c r="I1050" s="15" t="s">
        <v>182</v>
      </c>
      <c r="J1050" s="15" t="s">
        <v>2498</v>
      </c>
    </row>
    <row r="1051" spans="1:10" s="14" customFormat="1" ht="12" customHeight="1" x14ac:dyDescent="0.25">
      <c r="A1051" s="9">
        <v>1049</v>
      </c>
      <c r="B1051" s="14" t="s">
        <v>2503</v>
      </c>
      <c r="C1051" s="14" t="s">
        <v>2504</v>
      </c>
      <c r="D1051" s="9" t="s">
        <v>31</v>
      </c>
      <c r="E1051" s="15" t="str">
        <f t="shared" si="25"/>
        <v>Naloxone</v>
      </c>
      <c r="F1051" s="12">
        <f>DATE(2020,3,30)</f>
        <v>43920</v>
      </c>
      <c r="G1051" s="13">
        <v>1971</v>
      </c>
      <c r="H1051" s="13">
        <v>1</v>
      </c>
      <c r="I1051" s="15" t="s">
        <v>40</v>
      </c>
      <c r="J1051" s="15" t="s">
        <v>2505</v>
      </c>
    </row>
    <row r="1052" spans="1:10" s="14" customFormat="1" ht="12" customHeight="1" x14ac:dyDescent="0.25">
      <c r="A1052" s="9">
        <v>1050</v>
      </c>
      <c r="B1052" s="14" t="s">
        <v>2506</v>
      </c>
      <c r="C1052" s="14" t="s">
        <v>2507</v>
      </c>
      <c r="D1052" s="9" t="s">
        <v>23</v>
      </c>
      <c r="E1052" s="15" t="str">
        <f t="shared" si="25"/>
        <v>Naltrexone</v>
      </c>
      <c r="F1052" s="12">
        <f>DATE(2020,3,30)</f>
        <v>43920</v>
      </c>
      <c r="G1052" s="13">
        <v>2006</v>
      </c>
      <c r="H1052" s="13">
        <v>1</v>
      </c>
      <c r="I1052" s="15" t="s">
        <v>40</v>
      </c>
      <c r="J1052" s="15" t="s">
        <v>655</v>
      </c>
    </row>
    <row r="1053" spans="1:10" s="14" customFormat="1" ht="12" customHeight="1" x14ac:dyDescent="0.25">
      <c r="A1053" s="9">
        <v>1051</v>
      </c>
      <c r="B1053" s="14" t="s">
        <v>2508</v>
      </c>
      <c r="C1053" s="14" t="s">
        <v>2509</v>
      </c>
      <c r="D1053" s="9" t="s">
        <v>23</v>
      </c>
      <c r="E1053" s="15" t="str">
        <f t="shared" si="25"/>
        <v>Naltrexone-Buproprion</v>
      </c>
      <c r="F1053" s="18">
        <f>DATE(2020,6,5)</f>
        <v>43987</v>
      </c>
      <c r="G1053" s="13">
        <v>2019</v>
      </c>
      <c r="H1053" s="13">
        <v>1</v>
      </c>
      <c r="I1053" s="15" t="s">
        <v>520</v>
      </c>
      <c r="J1053" s="15" t="s">
        <v>521</v>
      </c>
    </row>
    <row r="1054" spans="1:10" s="14" customFormat="1" ht="12" customHeight="1" x14ac:dyDescent="0.25">
      <c r="A1054" s="9">
        <v>1052</v>
      </c>
      <c r="B1054" s="14" t="s">
        <v>2510</v>
      </c>
      <c r="C1054" s="14" t="s">
        <v>2511</v>
      </c>
      <c r="D1054" s="9" t="s">
        <v>166</v>
      </c>
      <c r="E1054" s="15" t="s">
        <v>1085</v>
      </c>
      <c r="F1054" s="12">
        <f>DATE(2020,6,24)</f>
        <v>44006</v>
      </c>
      <c r="G1054" s="13">
        <v>1962</v>
      </c>
      <c r="H1054" s="13">
        <v>1</v>
      </c>
      <c r="I1054" s="15" t="s">
        <v>45</v>
      </c>
      <c r="J1054" s="15" t="s">
        <v>291</v>
      </c>
    </row>
    <row r="1055" spans="1:10" s="14" customFormat="1" ht="12" customHeight="1" x14ac:dyDescent="0.25">
      <c r="A1055" s="9">
        <v>1053</v>
      </c>
      <c r="B1055" s="14" t="s">
        <v>2512</v>
      </c>
      <c r="C1055" s="14" t="s">
        <v>2513</v>
      </c>
      <c r="D1055" s="9" t="s">
        <v>44</v>
      </c>
      <c r="E1055" s="15" t="str">
        <f>B1055</f>
        <v>Naproxen</v>
      </c>
      <c r="F1055" s="12">
        <f>DATE(2025,7,25)</f>
        <v>45863</v>
      </c>
      <c r="G1055" s="13">
        <v>1976</v>
      </c>
      <c r="H1055" s="13">
        <v>1</v>
      </c>
      <c r="I1055" s="15" t="s">
        <v>54</v>
      </c>
      <c r="J1055" s="15" t="s">
        <v>55</v>
      </c>
    </row>
    <row r="1056" spans="1:10" s="14" customFormat="1" ht="12" customHeight="1" x14ac:dyDescent="0.25">
      <c r="A1056" s="9">
        <v>1054</v>
      </c>
      <c r="B1056" s="14" t="s">
        <v>2514</v>
      </c>
      <c r="C1056" s="14" t="s">
        <v>2515</v>
      </c>
      <c r="D1056" s="9" t="s">
        <v>31</v>
      </c>
      <c r="E1056" s="15" t="s">
        <v>170</v>
      </c>
      <c r="F1056" s="12">
        <f>DATE(2018,2,18)</f>
        <v>43149</v>
      </c>
      <c r="G1056" s="13">
        <v>1998</v>
      </c>
      <c r="H1056" s="13">
        <v>1</v>
      </c>
      <c r="I1056" s="15" t="s">
        <v>100</v>
      </c>
      <c r="J1056" s="15" t="s">
        <v>171</v>
      </c>
    </row>
    <row r="1057" spans="1:35" s="14" customFormat="1" ht="12" customHeight="1" x14ac:dyDescent="0.25">
      <c r="A1057" s="9">
        <v>1055</v>
      </c>
      <c r="B1057" s="14" t="s">
        <v>2516</v>
      </c>
      <c r="C1057" s="14" t="s">
        <v>2517</v>
      </c>
      <c r="D1057" s="9" t="s">
        <v>44</v>
      </c>
      <c r="E1057" s="15" t="str">
        <f>B1057</f>
        <v>Natalizumab</v>
      </c>
      <c r="F1057" s="12">
        <f>DATE(2025,9,20)</f>
        <v>45920</v>
      </c>
      <c r="G1057" s="13">
        <v>2004</v>
      </c>
      <c r="H1057" s="13">
        <v>1</v>
      </c>
      <c r="I1057" s="15" t="s">
        <v>100</v>
      </c>
      <c r="J1057" s="15" t="s">
        <v>1076</v>
      </c>
    </row>
    <row r="1058" spans="1:35" s="14" customFormat="1" ht="12" customHeight="1" x14ac:dyDescent="0.25">
      <c r="A1058" s="9">
        <v>1056</v>
      </c>
      <c r="B1058" s="14" t="s">
        <v>2518</v>
      </c>
      <c r="C1058" s="14" t="s">
        <v>2519</v>
      </c>
      <c r="D1058" s="9" t="s">
        <v>23</v>
      </c>
      <c r="E1058" s="15" t="str">
        <f>B1058</f>
        <v>Nateglinide</v>
      </c>
      <c r="F1058" s="12">
        <f>DATE(2018,6,4)</f>
        <v>43255</v>
      </c>
      <c r="G1058" s="13">
        <v>2000</v>
      </c>
      <c r="H1058" s="13">
        <v>1</v>
      </c>
      <c r="I1058" s="15" t="s">
        <v>45</v>
      </c>
      <c r="J1058" s="15" t="s">
        <v>46</v>
      </c>
    </row>
    <row r="1059" spans="1:35" s="14" customFormat="1" ht="12" customHeight="1" x14ac:dyDescent="0.25">
      <c r="A1059" s="9">
        <v>1057</v>
      </c>
      <c r="B1059" s="14" t="s">
        <v>2520</v>
      </c>
      <c r="C1059" s="14" t="s">
        <v>2521</v>
      </c>
      <c r="D1059" s="9" t="s">
        <v>31</v>
      </c>
      <c r="E1059" s="15" t="s">
        <v>2520</v>
      </c>
      <c r="F1059" s="12">
        <f>DATE(2024,7,11)</f>
        <v>45484</v>
      </c>
      <c r="G1059" s="16">
        <v>2020</v>
      </c>
      <c r="H1059" s="13">
        <v>1</v>
      </c>
      <c r="I1059" s="15" t="s">
        <v>24</v>
      </c>
      <c r="J1059" s="15" t="s">
        <v>1259</v>
      </c>
    </row>
    <row r="1060" spans="1:35" s="14" customFormat="1" ht="12.65" customHeight="1" x14ac:dyDescent="0.25">
      <c r="A1060" s="9">
        <v>1058</v>
      </c>
      <c r="B1060" s="14" t="s">
        <v>2522</v>
      </c>
      <c r="C1060" s="14" t="s">
        <v>2523</v>
      </c>
      <c r="D1060" s="9" t="s">
        <v>23</v>
      </c>
      <c r="E1060" s="15" t="str">
        <f>B1060</f>
        <v>Nebivolol</v>
      </c>
      <c r="F1060" s="12">
        <f>DATE(2019,5,3)</f>
        <v>43588</v>
      </c>
      <c r="G1060" s="13">
        <v>2007</v>
      </c>
      <c r="H1060" s="13">
        <v>1</v>
      </c>
      <c r="I1060" s="15" t="s">
        <v>49</v>
      </c>
      <c r="J1060" s="15" t="s">
        <v>50</v>
      </c>
    </row>
    <row r="1061" spans="1:35" s="14" customFormat="1" ht="12.65" customHeight="1" x14ac:dyDescent="0.25">
      <c r="A1061" s="9">
        <v>1059</v>
      </c>
      <c r="B1061" s="14" t="s">
        <v>2524</v>
      </c>
      <c r="C1061" s="14" t="s">
        <v>2525</v>
      </c>
      <c r="D1061" s="16" t="s">
        <v>31</v>
      </c>
      <c r="E1061" s="15" t="str">
        <f>B1061</f>
        <v>Necitumumab</v>
      </c>
      <c r="F1061" s="12">
        <f>DATE(2017,4,3)</f>
        <v>42828</v>
      </c>
      <c r="G1061" s="13">
        <v>2015</v>
      </c>
      <c r="H1061" s="13">
        <v>1</v>
      </c>
      <c r="I1061" s="15" t="s">
        <v>24</v>
      </c>
      <c r="J1061" s="15" t="s">
        <v>2526</v>
      </c>
    </row>
    <row r="1062" spans="1:35" s="14" customFormat="1" ht="12" customHeight="1" x14ac:dyDescent="0.25">
      <c r="A1062" s="9">
        <v>1060</v>
      </c>
      <c r="B1062" s="14" t="s">
        <v>2527</v>
      </c>
      <c r="C1062" s="14" t="s">
        <v>2528</v>
      </c>
      <c r="D1062" s="9" t="s">
        <v>31</v>
      </c>
      <c r="E1062" s="14" t="s">
        <v>2527</v>
      </c>
      <c r="F1062" s="12">
        <f>DATE(2025,3,5)</f>
        <v>45721</v>
      </c>
      <c r="G1062" s="13">
        <v>2023</v>
      </c>
      <c r="H1062" s="13">
        <v>1</v>
      </c>
      <c r="I1062" s="15" t="s">
        <v>104</v>
      </c>
      <c r="J1062" s="15" t="s">
        <v>2529</v>
      </c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</row>
    <row r="1063" spans="1:35" s="14" customFormat="1" ht="12" customHeight="1" x14ac:dyDescent="0.25">
      <c r="A1063" s="9">
        <v>1061</v>
      </c>
      <c r="B1063" s="14" t="s">
        <v>2530</v>
      </c>
      <c r="C1063" s="14" t="s">
        <v>2531</v>
      </c>
      <c r="D1063" s="9" t="s">
        <v>166</v>
      </c>
      <c r="E1063" s="15" t="str">
        <f>B1063</f>
        <v>Nefazodone</v>
      </c>
      <c r="F1063" s="12">
        <f>DATE(2020,3,6)</f>
        <v>43896</v>
      </c>
      <c r="G1063" s="13">
        <v>1994</v>
      </c>
      <c r="H1063" s="13">
        <v>1</v>
      </c>
      <c r="I1063" s="15" t="s">
        <v>100</v>
      </c>
      <c r="J1063" s="15" t="s">
        <v>250</v>
      </c>
    </row>
    <row r="1064" spans="1:35" s="14" customFormat="1" ht="12" customHeight="1" x14ac:dyDescent="0.25">
      <c r="A1064" s="9">
        <v>1062</v>
      </c>
      <c r="B1064" s="14" t="s">
        <v>2532</v>
      </c>
      <c r="C1064" s="14" t="s">
        <v>2533</v>
      </c>
      <c r="D1064" s="9" t="s">
        <v>23</v>
      </c>
      <c r="E1064" s="15" t="str">
        <f>B1064</f>
        <v>Nelarabine</v>
      </c>
      <c r="F1064" s="12">
        <f>DATE(2020,5,1)</f>
        <v>43952</v>
      </c>
      <c r="G1064" s="13">
        <v>2005</v>
      </c>
      <c r="H1064" s="13">
        <v>1</v>
      </c>
      <c r="I1064" s="15" t="s">
        <v>24</v>
      </c>
      <c r="J1064" s="15" t="s">
        <v>504</v>
      </c>
    </row>
    <row r="1065" spans="1:35" s="14" customFormat="1" ht="12" customHeight="1" x14ac:dyDescent="0.25">
      <c r="A1065" s="9">
        <v>1063</v>
      </c>
      <c r="B1065" s="14" t="s">
        <v>2534</v>
      </c>
      <c r="C1065" s="14" t="s">
        <v>2535</v>
      </c>
      <c r="D1065" s="9" t="s">
        <v>36</v>
      </c>
      <c r="E1065" s="15" t="str">
        <f>B1065</f>
        <v>Nelfinavir</v>
      </c>
      <c r="F1065" s="12">
        <f>DATE(2017,9,1)</f>
        <v>42979</v>
      </c>
      <c r="G1065" s="13">
        <v>1997</v>
      </c>
      <c r="H1065" s="13">
        <v>1</v>
      </c>
      <c r="I1065" s="15" t="s">
        <v>15</v>
      </c>
      <c r="J1065" s="15" t="s">
        <v>16</v>
      </c>
    </row>
    <row r="1066" spans="1:35" s="14" customFormat="1" ht="12" customHeight="1" x14ac:dyDescent="0.25">
      <c r="A1066" s="9">
        <v>1064</v>
      </c>
      <c r="B1066" s="14" t="s">
        <v>2536</v>
      </c>
      <c r="C1066" s="14" t="s">
        <v>2537</v>
      </c>
      <c r="D1066" s="9" t="s">
        <v>77</v>
      </c>
      <c r="E1066" s="14" t="s">
        <v>2536</v>
      </c>
      <c r="F1066" s="12"/>
      <c r="G1066" s="13">
        <v>2024</v>
      </c>
      <c r="H1066" s="13">
        <v>0</v>
      </c>
      <c r="I1066" s="14" t="s">
        <v>32</v>
      </c>
      <c r="J1066" s="14" t="s">
        <v>2538</v>
      </c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</row>
    <row r="1067" spans="1:35" s="14" customFormat="1" ht="12" customHeight="1" x14ac:dyDescent="0.25">
      <c r="A1067" s="9">
        <v>1065</v>
      </c>
      <c r="B1067" s="14" t="s">
        <v>2539</v>
      </c>
      <c r="C1067" s="14" t="s">
        <v>2540</v>
      </c>
      <c r="D1067" s="9" t="s">
        <v>31</v>
      </c>
      <c r="E1067" s="15" t="str">
        <f>B1067</f>
        <v>Neomycin</v>
      </c>
      <c r="F1067" s="12">
        <f>DATE(2016,3,1)</f>
        <v>42430</v>
      </c>
      <c r="G1067" s="13">
        <v>1970</v>
      </c>
      <c r="H1067" s="13">
        <v>1</v>
      </c>
      <c r="I1067" s="15" t="s">
        <v>15</v>
      </c>
      <c r="J1067" s="15" t="s">
        <v>225</v>
      </c>
    </row>
    <row r="1068" spans="1:35" s="14" customFormat="1" ht="12" customHeight="1" x14ac:dyDescent="0.25">
      <c r="A1068" s="9">
        <v>1066</v>
      </c>
      <c r="B1068" s="14" t="s">
        <v>2541</v>
      </c>
      <c r="C1068" s="14" t="s">
        <v>2542</v>
      </c>
      <c r="D1068" s="9" t="s">
        <v>77</v>
      </c>
      <c r="E1068" s="15"/>
      <c r="F1068" s="12"/>
      <c r="G1068" s="13" t="s">
        <v>63</v>
      </c>
      <c r="H1068" s="13">
        <v>0</v>
      </c>
      <c r="I1068" s="15" t="s">
        <v>100</v>
      </c>
      <c r="J1068" s="15" t="s">
        <v>2543</v>
      </c>
    </row>
    <row r="1069" spans="1:35" s="14" customFormat="1" ht="12" customHeight="1" x14ac:dyDescent="0.3">
      <c r="A1069" s="9">
        <v>1067</v>
      </c>
      <c r="B1069" s="14" t="s">
        <v>2544</v>
      </c>
      <c r="C1069" s="14" t="s">
        <v>2545</v>
      </c>
      <c r="D1069" s="9" t="s">
        <v>77</v>
      </c>
      <c r="E1069" s="14" t="s">
        <v>2544</v>
      </c>
      <c r="F1069" s="9"/>
      <c r="G1069" s="13">
        <v>2025</v>
      </c>
      <c r="H1069" s="16">
        <v>0</v>
      </c>
      <c r="I1069" s="14" t="s">
        <v>613</v>
      </c>
      <c r="J1069" s="14" t="s">
        <v>2546</v>
      </c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</row>
    <row r="1070" spans="1:35" s="14" customFormat="1" ht="12" customHeight="1" x14ac:dyDescent="0.25">
      <c r="A1070" s="9">
        <v>1068</v>
      </c>
      <c r="B1070" s="14" t="s">
        <v>2547</v>
      </c>
      <c r="C1070" s="14" t="s">
        <v>2548</v>
      </c>
      <c r="D1070" s="9" t="s">
        <v>23</v>
      </c>
      <c r="E1070" s="15" t="str">
        <f>B1070</f>
        <v>Neratinib</v>
      </c>
      <c r="F1070" s="12">
        <f>DATE(2018,10,20)</f>
        <v>43393</v>
      </c>
      <c r="G1070" s="13">
        <v>2017</v>
      </c>
      <c r="H1070" s="13">
        <v>1</v>
      </c>
      <c r="I1070" s="15" t="s">
        <v>24</v>
      </c>
      <c r="J1070" s="15" t="s">
        <v>25</v>
      </c>
    </row>
    <row r="1071" spans="1:35" s="14" customFormat="1" ht="12" customHeight="1" x14ac:dyDescent="0.25">
      <c r="A1071" s="9">
        <v>1069</v>
      </c>
      <c r="B1071" s="14" t="s">
        <v>2549</v>
      </c>
      <c r="C1071" s="14" t="s">
        <v>2550</v>
      </c>
      <c r="D1071" s="9" t="s">
        <v>77</v>
      </c>
      <c r="E1071" s="15"/>
      <c r="F1071" s="12"/>
      <c r="G1071" s="13">
        <v>2017</v>
      </c>
      <c r="H1071" s="13">
        <v>0</v>
      </c>
      <c r="I1071" s="15" t="s">
        <v>78</v>
      </c>
      <c r="J1071" s="15" t="s">
        <v>2339</v>
      </c>
    </row>
    <row r="1072" spans="1:35" s="14" customFormat="1" ht="12" customHeight="1" x14ac:dyDescent="0.25">
      <c r="A1072" s="9">
        <v>1070</v>
      </c>
      <c r="B1072" s="14" t="s">
        <v>2551</v>
      </c>
      <c r="C1072" s="14" t="s">
        <v>1699</v>
      </c>
      <c r="D1072" s="9" t="s">
        <v>31</v>
      </c>
      <c r="E1072" s="15" t="s">
        <v>1698</v>
      </c>
      <c r="F1072" s="12">
        <f>DATE(2024,2,28)</f>
        <v>45350</v>
      </c>
      <c r="G1072" s="16">
        <v>2018</v>
      </c>
      <c r="H1072" s="13">
        <v>1</v>
      </c>
      <c r="I1072" s="15" t="s">
        <v>182</v>
      </c>
      <c r="J1072" s="15" t="s">
        <v>1700</v>
      </c>
    </row>
    <row r="1073" spans="1:35" s="14" customFormat="1" ht="12" customHeight="1" x14ac:dyDescent="0.25">
      <c r="A1073" s="9">
        <v>1071</v>
      </c>
      <c r="B1073" s="14" t="s">
        <v>2552</v>
      </c>
      <c r="C1073" s="14" t="s">
        <v>2553</v>
      </c>
      <c r="D1073" s="9" t="s">
        <v>166</v>
      </c>
      <c r="E1073" s="15" t="str">
        <f>B1073</f>
        <v>Nevirapine</v>
      </c>
      <c r="F1073" s="12">
        <f>DATE(2020,5,10)</f>
        <v>43961</v>
      </c>
      <c r="G1073" s="13">
        <v>1996</v>
      </c>
      <c r="H1073" s="13">
        <v>1</v>
      </c>
      <c r="I1073" s="15" t="s">
        <v>15</v>
      </c>
      <c r="J1073" s="15" t="s">
        <v>16</v>
      </c>
    </row>
    <row r="1074" spans="1:35" s="14" customFormat="1" ht="12" customHeight="1" x14ac:dyDescent="0.25">
      <c r="A1074" s="9">
        <v>1072</v>
      </c>
      <c r="B1074" s="14" t="s">
        <v>2554</v>
      </c>
      <c r="C1074" s="14" t="s">
        <v>2555</v>
      </c>
      <c r="D1074" s="9" t="s">
        <v>53</v>
      </c>
      <c r="E1074" s="15" t="str">
        <f>B1074</f>
        <v>Niacin</v>
      </c>
      <c r="F1074" s="12">
        <f>DATE(2020,9,7)</f>
        <v>44081</v>
      </c>
      <c r="G1074" s="13">
        <v>1959</v>
      </c>
      <c r="H1074" s="13">
        <v>1</v>
      </c>
      <c r="I1074" s="15" t="s">
        <v>49</v>
      </c>
      <c r="J1074" s="15" t="s">
        <v>161</v>
      </c>
    </row>
    <row r="1075" spans="1:35" s="14" customFormat="1" ht="12" customHeight="1" x14ac:dyDescent="0.25">
      <c r="A1075" s="9">
        <v>1073</v>
      </c>
      <c r="B1075" s="14" t="s">
        <v>2556</v>
      </c>
      <c r="C1075" s="14" t="s">
        <v>2557</v>
      </c>
      <c r="D1075" s="9" t="s">
        <v>31</v>
      </c>
      <c r="E1075" s="15" t="s">
        <v>2554</v>
      </c>
      <c r="F1075" s="12">
        <f>DATE(2020,7,9)</f>
        <v>44021</v>
      </c>
      <c r="G1075" s="13" t="s">
        <v>174</v>
      </c>
      <c r="H1075" s="13">
        <v>1</v>
      </c>
      <c r="I1075" s="15" t="s">
        <v>49</v>
      </c>
      <c r="J1075" s="15" t="s">
        <v>161</v>
      </c>
    </row>
    <row r="1076" spans="1:35" s="14" customFormat="1" ht="12" customHeight="1" x14ac:dyDescent="0.25">
      <c r="A1076" s="9">
        <v>1074</v>
      </c>
      <c r="B1076" s="14" t="s">
        <v>2558</v>
      </c>
      <c r="C1076" s="14" t="s">
        <v>2559</v>
      </c>
      <c r="D1076" s="9" t="s">
        <v>31</v>
      </c>
      <c r="E1076" s="15" t="str">
        <f>B1076</f>
        <v>Nicardipine</v>
      </c>
      <c r="F1076" s="12">
        <f>DATE(2017,1,11)</f>
        <v>42746</v>
      </c>
      <c r="G1076" s="13">
        <v>1988</v>
      </c>
      <c r="H1076" s="13">
        <v>1</v>
      </c>
      <c r="I1076" s="15" t="s">
        <v>49</v>
      </c>
      <c r="J1076" s="15" t="s">
        <v>50</v>
      </c>
    </row>
    <row r="1077" spans="1:35" s="14" customFormat="1" ht="12" customHeight="1" x14ac:dyDescent="0.25">
      <c r="A1077" s="9">
        <v>1075</v>
      </c>
      <c r="B1077" s="14" t="s">
        <v>2560</v>
      </c>
      <c r="C1077" s="14" t="s">
        <v>188</v>
      </c>
      <c r="D1077" s="9" t="s">
        <v>31</v>
      </c>
      <c r="E1077" s="15" t="s">
        <v>688</v>
      </c>
      <c r="F1077" s="12">
        <f>DATE(2019,5,2)</f>
        <v>43587</v>
      </c>
      <c r="G1077" s="13" t="s">
        <v>174</v>
      </c>
      <c r="H1077" s="13">
        <v>1</v>
      </c>
      <c r="I1077" s="15" t="s">
        <v>66</v>
      </c>
      <c r="J1077" s="15" t="s">
        <v>689</v>
      </c>
    </row>
    <row r="1078" spans="1:35" s="14" customFormat="1" ht="12" customHeight="1" x14ac:dyDescent="0.25">
      <c r="A1078" s="9">
        <v>1076</v>
      </c>
      <c r="B1078" s="14" t="s">
        <v>2561</v>
      </c>
      <c r="C1078" s="14" t="s">
        <v>2562</v>
      </c>
      <c r="D1078" s="9" t="s">
        <v>31</v>
      </c>
      <c r="E1078" s="15" t="str">
        <f>B1078</f>
        <v>Nicotine</v>
      </c>
      <c r="F1078" s="12">
        <f>DATE(2020,3,19)</f>
        <v>43909</v>
      </c>
      <c r="G1078" s="13" t="s">
        <v>174</v>
      </c>
      <c r="H1078" s="13">
        <v>1</v>
      </c>
      <c r="I1078" s="15" t="s">
        <v>40</v>
      </c>
      <c r="J1078" s="15" t="s">
        <v>2563</v>
      </c>
    </row>
    <row r="1079" spans="1:35" s="14" customFormat="1" ht="12" customHeight="1" x14ac:dyDescent="0.25">
      <c r="A1079" s="9">
        <v>1077</v>
      </c>
      <c r="B1079" s="14" t="s">
        <v>2564</v>
      </c>
      <c r="C1079" s="14" t="s">
        <v>2565</v>
      </c>
      <c r="D1079" s="9" t="s">
        <v>44</v>
      </c>
      <c r="E1079" s="15" t="str">
        <f>B1079</f>
        <v>Nifedipine</v>
      </c>
      <c r="F1079" s="12">
        <f>DATE(2017,1,11)</f>
        <v>42746</v>
      </c>
      <c r="G1079" s="13">
        <v>1981</v>
      </c>
      <c r="H1079" s="13">
        <v>1</v>
      </c>
      <c r="I1079" s="15" t="s">
        <v>49</v>
      </c>
      <c r="J1079" s="15" t="s">
        <v>50</v>
      </c>
    </row>
    <row r="1080" spans="1:35" s="14" customFormat="1" ht="12" customHeight="1" x14ac:dyDescent="0.25">
      <c r="A1080" s="9">
        <v>1078</v>
      </c>
      <c r="B1080" s="14" t="s">
        <v>2566</v>
      </c>
      <c r="C1080" s="14" t="s">
        <v>2567</v>
      </c>
      <c r="D1080" s="9" t="s">
        <v>31</v>
      </c>
      <c r="E1080" s="15" t="s">
        <v>2566</v>
      </c>
      <c r="F1080" s="12">
        <f>DATE(2023,7,18)</f>
        <v>45125</v>
      </c>
      <c r="G1080" s="16">
        <v>2020</v>
      </c>
      <c r="H1080" s="13">
        <v>1</v>
      </c>
      <c r="I1080" s="15" t="s">
        <v>15</v>
      </c>
      <c r="J1080" s="15" t="s">
        <v>517</v>
      </c>
    </row>
    <row r="1081" spans="1:35" s="14" customFormat="1" ht="12" customHeight="1" x14ac:dyDescent="0.25">
      <c r="A1081" s="9">
        <v>1079</v>
      </c>
      <c r="B1081" s="14" t="s">
        <v>2568</v>
      </c>
      <c r="C1081" s="14" t="s">
        <v>2569</v>
      </c>
      <c r="D1081" s="9" t="s">
        <v>36</v>
      </c>
      <c r="E1081" s="15" t="str">
        <f>B1081</f>
        <v>Nilotinib</v>
      </c>
      <c r="F1081" s="12">
        <f>DATE(2020,6,8)</f>
        <v>43990</v>
      </c>
      <c r="G1081" s="13">
        <v>2007</v>
      </c>
      <c r="H1081" s="13">
        <v>1</v>
      </c>
      <c r="I1081" s="15" t="s">
        <v>24</v>
      </c>
      <c r="J1081" s="15" t="s">
        <v>950</v>
      </c>
    </row>
    <row r="1082" spans="1:35" s="14" customFormat="1" ht="12" customHeight="1" x14ac:dyDescent="0.25">
      <c r="A1082" s="9">
        <v>1080</v>
      </c>
      <c r="B1082" s="14" t="s">
        <v>2570</v>
      </c>
      <c r="C1082" s="14" t="s">
        <v>2571</v>
      </c>
      <c r="D1082" s="9" t="s">
        <v>14</v>
      </c>
      <c r="E1082" s="15" t="str">
        <f>B1082</f>
        <v>Nilutamide</v>
      </c>
      <c r="F1082" s="12">
        <f>DATE(2023,3,15)</f>
        <v>45000</v>
      </c>
      <c r="G1082" s="13">
        <v>1996</v>
      </c>
      <c r="H1082" s="13">
        <v>1</v>
      </c>
      <c r="I1082" s="15" t="s">
        <v>24</v>
      </c>
      <c r="J1082" s="15" t="s">
        <v>28</v>
      </c>
    </row>
    <row r="1083" spans="1:35" s="14" customFormat="1" ht="12" customHeight="1" x14ac:dyDescent="0.25">
      <c r="A1083" s="9">
        <v>1081</v>
      </c>
      <c r="B1083" s="14" t="s">
        <v>2572</v>
      </c>
      <c r="C1083" s="14" t="s">
        <v>2573</v>
      </c>
      <c r="D1083" s="9" t="s">
        <v>166</v>
      </c>
      <c r="E1083" s="15" t="str">
        <f>B1083</f>
        <v>Nimesulide</v>
      </c>
      <c r="F1083" s="12">
        <f>DATE(2025,8,10)</f>
        <v>45879</v>
      </c>
      <c r="G1083" s="13" t="s">
        <v>512</v>
      </c>
      <c r="H1083" s="13">
        <v>1</v>
      </c>
      <c r="I1083" s="15" t="s">
        <v>54</v>
      </c>
      <c r="J1083" s="15" t="s">
        <v>55</v>
      </c>
    </row>
    <row r="1084" spans="1:35" s="14" customFormat="1" ht="12" customHeight="1" x14ac:dyDescent="0.25">
      <c r="A1084" s="9">
        <v>1082</v>
      </c>
      <c r="B1084" s="14" t="s">
        <v>2574</v>
      </c>
      <c r="C1084" s="14" t="s">
        <v>2575</v>
      </c>
      <c r="D1084" s="9" t="s">
        <v>31</v>
      </c>
      <c r="E1084" s="15" t="str">
        <f>B1084</f>
        <v>Nimodipine</v>
      </c>
      <c r="F1084" s="12">
        <f>DATE(2017,1,11)</f>
        <v>42746</v>
      </c>
      <c r="G1084" s="13">
        <v>1988</v>
      </c>
      <c r="H1084" s="13">
        <v>1</v>
      </c>
      <c r="I1084" s="15" t="s">
        <v>49</v>
      </c>
      <c r="J1084" s="15" t="s">
        <v>50</v>
      </c>
    </row>
    <row r="1085" spans="1:35" s="14" customFormat="1" ht="12" customHeight="1" x14ac:dyDescent="0.25">
      <c r="A1085" s="9">
        <v>1083</v>
      </c>
      <c r="B1085" s="14" t="s">
        <v>2576</v>
      </c>
      <c r="C1085" s="14" t="s">
        <v>2577</v>
      </c>
      <c r="D1085" s="9" t="s">
        <v>14</v>
      </c>
      <c r="E1085" s="15" t="str">
        <f>B1085</f>
        <v>Nintedanib</v>
      </c>
      <c r="F1085" s="12">
        <f>DATE(2023,12,12)</f>
        <v>45272</v>
      </c>
      <c r="G1085" s="13">
        <v>2014</v>
      </c>
      <c r="H1085" s="13">
        <v>1</v>
      </c>
      <c r="I1085" s="15" t="s">
        <v>73</v>
      </c>
      <c r="J1085" s="15" t="s">
        <v>2578</v>
      </c>
    </row>
    <row r="1086" spans="1:35" s="14" customFormat="1" ht="12" customHeight="1" x14ac:dyDescent="0.3">
      <c r="A1086" s="9">
        <v>1084</v>
      </c>
      <c r="B1086" s="14" t="s">
        <v>2579</v>
      </c>
      <c r="C1086" s="14" t="s">
        <v>2580</v>
      </c>
      <c r="D1086" s="9" t="s">
        <v>77</v>
      </c>
      <c r="E1086" s="14" t="s">
        <v>2579</v>
      </c>
      <c r="F1086" s="9"/>
      <c r="G1086" s="13">
        <v>2025</v>
      </c>
      <c r="H1086" s="16">
        <v>0</v>
      </c>
      <c r="I1086" s="14" t="s">
        <v>100</v>
      </c>
      <c r="J1086" s="14" t="s">
        <v>2581</v>
      </c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</row>
    <row r="1087" spans="1:35" s="14" customFormat="1" ht="12" customHeight="1" x14ac:dyDescent="0.25">
      <c r="A1087" s="9">
        <v>1085</v>
      </c>
      <c r="B1087" s="14" t="s">
        <v>2582</v>
      </c>
      <c r="C1087" s="14" t="s">
        <v>2583</v>
      </c>
      <c r="D1087" s="9" t="s">
        <v>23</v>
      </c>
      <c r="E1087" s="15" t="str">
        <f>B1087</f>
        <v>Niraparib</v>
      </c>
      <c r="F1087" s="12">
        <f>DATE(2017,7,27)</f>
        <v>42943</v>
      </c>
      <c r="G1087" s="13">
        <v>2017</v>
      </c>
      <c r="H1087" s="13">
        <v>1</v>
      </c>
      <c r="I1087" s="15" t="s">
        <v>24</v>
      </c>
      <c r="J1087" s="15" t="s">
        <v>2584</v>
      </c>
    </row>
    <row r="1088" spans="1:35" s="14" customFormat="1" ht="12" customHeight="1" x14ac:dyDescent="0.25">
      <c r="A1088" s="9">
        <v>1086</v>
      </c>
      <c r="B1088" s="14" t="s">
        <v>2585</v>
      </c>
      <c r="C1088" s="14" t="s">
        <v>2586</v>
      </c>
      <c r="D1088" s="9" t="s">
        <v>31</v>
      </c>
      <c r="E1088" s="15" t="s">
        <v>2586</v>
      </c>
      <c r="F1088" s="12">
        <f>DATE(2022,1,13)</f>
        <v>44574</v>
      </c>
      <c r="G1088" s="13">
        <v>2021</v>
      </c>
      <c r="H1088" s="13">
        <v>1</v>
      </c>
      <c r="I1088" s="15" t="s">
        <v>15</v>
      </c>
      <c r="J1088" s="15" t="s">
        <v>2452</v>
      </c>
    </row>
    <row r="1089" spans="1:35" s="14" customFormat="1" ht="12" customHeight="1" x14ac:dyDescent="0.25">
      <c r="A1089" s="9">
        <v>1087</v>
      </c>
      <c r="B1089" s="14" t="s">
        <v>2587</v>
      </c>
      <c r="C1089" s="14" t="s">
        <v>2588</v>
      </c>
      <c r="D1089" s="9" t="s">
        <v>77</v>
      </c>
      <c r="E1089" s="14" t="s">
        <v>2587</v>
      </c>
      <c r="F1089" s="12"/>
      <c r="G1089" s="13">
        <v>2023</v>
      </c>
      <c r="H1089" s="13">
        <v>0</v>
      </c>
      <c r="I1089" s="15" t="s">
        <v>24</v>
      </c>
      <c r="J1089" s="15" t="s">
        <v>2589</v>
      </c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</row>
    <row r="1090" spans="1:35" s="14" customFormat="1" ht="12" customHeight="1" x14ac:dyDescent="0.25">
      <c r="A1090" s="9">
        <v>1088</v>
      </c>
      <c r="B1090" s="14" t="s">
        <v>2590</v>
      </c>
      <c r="C1090" s="14" t="s">
        <v>2591</v>
      </c>
      <c r="D1090" s="9" t="s">
        <v>77</v>
      </c>
      <c r="E1090" s="14" t="s">
        <v>2590</v>
      </c>
      <c r="F1090" s="12"/>
      <c r="G1090" s="13">
        <v>2023</v>
      </c>
      <c r="H1090" s="13">
        <v>0</v>
      </c>
      <c r="I1090" s="15" t="s">
        <v>15</v>
      </c>
      <c r="J1090" s="15" t="s">
        <v>2592</v>
      </c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</row>
    <row r="1091" spans="1:35" s="14" customFormat="1" ht="12" customHeight="1" x14ac:dyDescent="0.25">
      <c r="A1091" s="9">
        <v>1089</v>
      </c>
      <c r="B1091" s="14" t="s">
        <v>2593</v>
      </c>
      <c r="C1091" s="14" t="s">
        <v>2594</v>
      </c>
      <c r="D1091" s="9" t="s">
        <v>31</v>
      </c>
      <c r="E1091" s="15" t="str">
        <f>B1091</f>
        <v>Nisoldipine</v>
      </c>
      <c r="F1091" s="12">
        <f>DATE(2017,1,11)</f>
        <v>42746</v>
      </c>
      <c r="G1091" s="13">
        <v>1995</v>
      </c>
      <c r="H1091" s="13">
        <v>1</v>
      </c>
      <c r="I1091" s="15" t="s">
        <v>49</v>
      </c>
      <c r="J1091" s="15" t="s">
        <v>50</v>
      </c>
    </row>
    <row r="1092" spans="1:35" s="14" customFormat="1" ht="12" customHeight="1" x14ac:dyDescent="0.25">
      <c r="A1092" s="9">
        <v>1090</v>
      </c>
      <c r="B1092" s="14" t="s">
        <v>2595</v>
      </c>
      <c r="C1092" s="14" t="s">
        <v>2596</v>
      </c>
      <c r="D1092" s="9" t="s">
        <v>31</v>
      </c>
      <c r="E1092" s="15" t="str">
        <f>B1092</f>
        <v>Nitazoxanide</v>
      </c>
      <c r="F1092" s="12">
        <f>DATE(2020,4,30)</f>
        <v>43951</v>
      </c>
      <c r="G1092" s="13">
        <v>2004</v>
      </c>
      <c r="H1092" s="13">
        <v>1</v>
      </c>
      <c r="I1092" s="15" t="s">
        <v>15</v>
      </c>
      <c r="J1092" s="15" t="s">
        <v>122</v>
      </c>
    </row>
    <row r="1093" spans="1:35" s="14" customFormat="1" ht="12" customHeight="1" x14ac:dyDescent="0.25">
      <c r="A1093" s="9">
        <v>1091</v>
      </c>
      <c r="B1093" s="14" t="s">
        <v>2597</v>
      </c>
      <c r="C1093" s="14" t="s">
        <v>2598</v>
      </c>
      <c r="D1093" s="9" t="s">
        <v>31</v>
      </c>
      <c r="E1093" s="15" t="str">
        <f>B1093</f>
        <v>Nitisinone</v>
      </c>
      <c r="F1093" s="12">
        <f>DATE(2016,10,1)</f>
        <v>42644</v>
      </c>
      <c r="G1093" s="13">
        <v>2002</v>
      </c>
      <c r="H1093" s="13">
        <v>1</v>
      </c>
      <c r="I1093" s="15" t="s">
        <v>104</v>
      </c>
      <c r="J1093" s="15" t="s">
        <v>2599</v>
      </c>
    </row>
    <row r="1094" spans="1:35" s="14" customFormat="1" ht="12" customHeight="1" x14ac:dyDescent="0.25">
      <c r="A1094" s="9">
        <v>1092</v>
      </c>
      <c r="B1094" s="14" t="s">
        <v>2600</v>
      </c>
      <c r="C1094" s="14" t="s">
        <v>2601</v>
      </c>
      <c r="D1094" s="9" t="s">
        <v>166</v>
      </c>
      <c r="E1094" s="15" t="str">
        <f>B1094</f>
        <v>Nitrofurantoin</v>
      </c>
      <c r="F1094" s="12">
        <f>DATE(2025,6,20)</f>
        <v>45828</v>
      </c>
      <c r="G1094" s="13">
        <v>1953</v>
      </c>
      <c r="H1094" s="13">
        <v>1</v>
      </c>
      <c r="I1094" s="15" t="s">
        <v>15</v>
      </c>
      <c r="J1094" s="15" t="s">
        <v>225</v>
      </c>
    </row>
    <row r="1095" spans="1:35" s="14" customFormat="1" ht="12" customHeight="1" x14ac:dyDescent="0.25">
      <c r="A1095" s="9">
        <v>1093</v>
      </c>
      <c r="B1095" s="14" t="s">
        <v>2602</v>
      </c>
      <c r="C1095" s="14" t="s">
        <v>2603</v>
      </c>
      <c r="D1095" s="9" t="s">
        <v>31</v>
      </c>
      <c r="E1095" s="15" t="s">
        <v>1989</v>
      </c>
      <c r="F1095" s="12">
        <f>DATE(2018,4,27)</f>
        <v>43217</v>
      </c>
      <c r="G1095" s="13">
        <v>1981</v>
      </c>
      <c r="H1095" s="13">
        <v>1</v>
      </c>
      <c r="I1095" s="15" t="s">
        <v>49</v>
      </c>
      <c r="J1095" s="15" t="s">
        <v>1990</v>
      </c>
    </row>
    <row r="1096" spans="1:35" s="14" customFormat="1" ht="12" customHeight="1" x14ac:dyDescent="0.25">
      <c r="A1096" s="9">
        <v>1094</v>
      </c>
      <c r="B1096" s="14" t="s">
        <v>2604</v>
      </c>
      <c r="C1096" s="14" t="s">
        <v>2605</v>
      </c>
      <c r="D1096" s="9" t="s">
        <v>31</v>
      </c>
      <c r="E1096" s="15" t="str">
        <f>B1096</f>
        <v>Nitroprusside</v>
      </c>
      <c r="F1096" s="12">
        <f>DATE(2020,4,29)</f>
        <v>43950</v>
      </c>
      <c r="G1096" s="13">
        <v>1981</v>
      </c>
      <c r="H1096" s="13">
        <v>1</v>
      </c>
      <c r="I1096" s="15" t="s">
        <v>49</v>
      </c>
      <c r="J1096" s="15" t="s">
        <v>2606</v>
      </c>
    </row>
    <row r="1097" spans="1:35" s="14" customFormat="1" ht="12" customHeight="1" x14ac:dyDescent="0.25">
      <c r="A1097" s="9">
        <v>1095</v>
      </c>
      <c r="B1097" s="14" t="s">
        <v>2607</v>
      </c>
      <c r="C1097" s="14" t="s">
        <v>2608</v>
      </c>
      <c r="D1097" s="9" t="s">
        <v>166</v>
      </c>
      <c r="E1097" s="15" t="str">
        <f>B1097</f>
        <v>Nivolumab</v>
      </c>
      <c r="F1097" s="12">
        <f>DATE(2022,6,23)</f>
        <v>44735</v>
      </c>
      <c r="G1097" s="13">
        <v>2015</v>
      </c>
      <c r="H1097" s="13">
        <v>1</v>
      </c>
      <c r="I1097" s="15" t="s">
        <v>24</v>
      </c>
      <c r="J1097" s="15" t="s">
        <v>2609</v>
      </c>
    </row>
    <row r="1098" spans="1:35" s="14" customFormat="1" ht="12" customHeight="1" x14ac:dyDescent="0.25">
      <c r="A1098" s="9">
        <v>1096</v>
      </c>
      <c r="B1098" s="14" t="s">
        <v>2610</v>
      </c>
      <c r="C1098" s="14" t="s">
        <v>2611</v>
      </c>
      <c r="D1098" s="9" t="s">
        <v>36</v>
      </c>
      <c r="E1098" s="15" t="str">
        <f>B1098</f>
        <v>Nizatidine</v>
      </c>
      <c r="F1098" s="20">
        <f>DATE(2018,1,25)</f>
        <v>43125</v>
      </c>
      <c r="G1098" s="13">
        <v>1988</v>
      </c>
      <c r="H1098" s="13">
        <v>1</v>
      </c>
      <c r="I1098" s="15" t="s">
        <v>182</v>
      </c>
      <c r="J1098" s="15" t="s">
        <v>918</v>
      </c>
    </row>
    <row r="1099" spans="1:35" s="14" customFormat="1" ht="12" customHeight="1" x14ac:dyDescent="0.25">
      <c r="A1099" s="9">
        <v>1097</v>
      </c>
      <c r="B1099" s="14" t="s">
        <v>2612</v>
      </c>
      <c r="C1099" s="14" t="s">
        <v>188</v>
      </c>
      <c r="D1099" s="9" t="s">
        <v>14</v>
      </c>
      <c r="E1099" s="15" t="str">
        <f>B1099</f>
        <v>Noni</v>
      </c>
      <c r="F1099" s="12">
        <f>DATE(2020,4,8)</f>
        <v>43929</v>
      </c>
      <c r="G1099" s="13" t="s">
        <v>174</v>
      </c>
      <c r="H1099" s="13">
        <v>1</v>
      </c>
      <c r="I1099" s="15" t="s">
        <v>175</v>
      </c>
      <c r="J1099" s="15" t="s">
        <v>204</v>
      </c>
    </row>
    <row r="1100" spans="1:35" s="14" customFormat="1" ht="12" customHeight="1" x14ac:dyDescent="0.25">
      <c r="A1100" s="9">
        <v>1098</v>
      </c>
      <c r="B1100" s="14" t="s">
        <v>2613</v>
      </c>
      <c r="C1100" s="14" t="s">
        <v>2614</v>
      </c>
      <c r="D1100" s="9" t="s">
        <v>166</v>
      </c>
      <c r="E1100" s="15" t="s">
        <v>1172</v>
      </c>
      <c r="F1100" s="12">
        <f>DATE(2020,6,24)</f>
        <v>44006</v>
      </c>
      <c r="G1100" s="13">
        <v>2001</v>
      </c>
      <c r="H1100" s="13">
        <v>1</v>
      </c>
      <c r="I1100" s="15" t="s">
        <v>473</v>
      </c>
      <c r="J1100" s="15" t="s">
        <v>1173</v>
      </c>
    </row>
    <row r="1101" spans="1:35" s="14" customFormat="1" ht="12" customHeight="1" x14ac:dyDescent="0.25">
      <c r="A1101" s="9">
        <v>1099</v>
      </c>
      <c r="B1101" s="14" t="s">
        <v>2615</v>
      </c>
      <c r="C1101" s="14" t="s">
        <v>2324</v>
      </c>
      <c r="D1101" s="9" t="s">
        <v>166</v>
      </c>
      <c r="E1101" s="15" t="str">
        <f>$E$904</f>
        <v>Lonapegsomatrophin</v>
      </c>
      <c r="F1101" s="12">
        <f>DATE(2020,6,24)</f>
        <v>44006</v>
      </c>
      <c r="G1101" s="13">
        <v>1973</v>
      </c>
      <c r="H1101" s="13">
        <v>1</v>
      </c>
      <c r="I1101" s="15" t="s">
        <v>473</v>
      </c>
      <c r="J1101" s="15" t="s">
        <v>1173</v>
      </c>
    </row>
    <row r="1102" spans="1:35" s="14" customFormat="1" ht="12" customHeight="1" x14ac:dyDescent="0.25">
      <c r="A1102" s="9">
        <v>1100</v>
      </c>
      <c r="B1102" s="14" t="s">
        <v>2616</v>
      </c>
      <c r="C1102" s="14" t="s">
        <v>2617</v>
      </c>
      <c r="D1102" s="9" t="s">
        <v>14</v>
      </c>
      <c r="E1102" s="15" t="str">
        <f>B1102</f>
        <v>Norfloxacin</v>
      </c>
      <c r="F1102" s="12">
        <f>DATE(2020,3,10)</f>
        <v>43900</v>
      </c>
      <c r="G1102" s="13">
        <v>1986</v>
      </c>
      <c r="H1102" s="13">
        <v>1</v>
      </c>
      <c r="I1102" s="15" t="s">
        <v>15</v>
      </c>
      <c r="J1102" s="15" t="s">
        <v>225</v>
      </c>
    </row>
    <row r="1103" spans="1:35" s="14" customFormat="1" ht="12" customHeight="1" x14ac:dyDescent="0.25">
      <c r="A1103" s="9">
        <v>1101</v>
      </c>
      <c r="B1103" s="10" t="s">
        <v>2618</v>
      </c>
      <c r="C1103" s="10" t="s">
        <v>2619</v>
      </c>
      <c r="D1103" s="9" t="s">
        <v>166</v>
      </c>
      <c r="E1103" s="15" t="s">
        <v>1172</v>
      </c>
      <c r="F1103" s="12">
        <f>DATE(2020,6,24)</f>
        <v>44006</v>
      </c>
      <c r="G1103" s="13">
        <v>1989</v>
      </c>
      <c r="H1103" s="9">
        <v>1</v>
      </c>
      <c r="I1103" s="15" t="s">
        <v>473</v>
      </c>
      <c r="J1103" s="15" t="s">
        <v>1173</v>
      </c>
    </row>
    <row r="1104" spans="1:35" s="14" customFormat="1" ht="12" customHeight="1" x14ac:dyDescent="0.25">
      <c r="A1104" s="9">
        <v>1102</v>
      </c>
      <c r="B1104" s="14" t="s">
        <v>2620</v>
      </c>
      <c r="C1104" s="14" t="s">
        <v>2621</v>
      </c>
      <c r="D1104" s="9" t="s">
        <v>166</v>
      </c>
      <c r="E1104" s="15" t="s">
        <v>1172</v>
      </c>
      <c r="F1104" s="12">
        <f>DATE(2020,6,24)</f>
        <v>44006</v>
      </c>
      <c r="G1104" s="13">
        <v>1973</v>
      </c>
      <c r="H1104" s="9">
        <v>1</v>
      </c>
      <c r="I1104" s="15" t="s">
        <v>473</v>
      </c>
      <c r="J1104" s="15" t="s">
        <v>1173</v>
      </c>
    </row>
    <row r="1105" spans="1:35" s="14" customFormat="1" ht="12" customHeight="1" x14ac:dyDescent="0.25">
      <c r="A1105" s="9">
        <v>1103</v>
      </c>
      <c r="B1105" s="14" t="s">
        <v>2622</v>
      </c>
      <c r="C1105" s="14" t="s">
        <v>2623</v>
      </c>
      <c r="D1105" s="9" t="s">
        <v>14</v>
      </c>
      <c r="E1105" s="15" t="str">
        <f>B1105</f>
        <v>Nortriptyline</v>
      </c>
      <c r="F1105" s="12">
        <f>DATE(2020,4,5)</f>
        <v>43926</v>
      </c>
      <c r="G1105" s="13">
        <v>1964</v>
      </c>
      <c r="H1105" s="9">
        <v>1</v>
      </c>
      <c r="I1105" s="15" t="s">
        <v>100</v>
      </c>
      <c r="J1105" s="15" t="s">
        <v>250</v>
      </c>
    </row>
    <row r="1106" spans="1:35" s="14" customFormat="1" ht="12" customHeight="1" x14ac:dyDescent="0.25">
      <c r="A1106" s="9">
        <v>1104</v>
      </c>
      <c r="B1106" s="15" t="s">
        <v>2624</v>
      </c>
      <c r="C1106" s="15" t="s">
        <v>188</v>
      </c>
      <c r="D1106" s="9" t="s">
        <v>31</v>
      </c>
      <c r="E1106" s="15" t="s">
        <v>2624</v>
      </c>
      <c r="F1106" s="22">
        <f>DATE(2023,3,3)</f>
        <v>44988</v>
      </c>
      <c r="G1106" s="13" t="s">
        <v>174</v>
      </c>
      <c r="H1106" s="9">
        <v>1</v>
      </c>
      <c r="I1106" s="15" t="s">
        <v>175</v>
      </c>
      <c r="J1106" s="15" t="s">
        <v>2625</v>
      </c>
    </row>
    <row r="1107" spans="1:35" s="14" customFormat="1" ht="12" customHeight="1" x14ac:dyDescent="0.25">
      <c r="A1107" s="9">
        <v>1105</v>
      </c>
      <c r="B1107" s="14" t="s">
        <v>2626</v>
      </c>
      <c r="C1107" s="14" t="s">
        <v>2627</v>
      </c>
      <c r="D1107" s="9" t="s">
        <v>31</v>
      </c>
      <c r="E1107" s="15" t="str">
        <f>B1107</f>
        <v>Nystatin</v>
      </c>
      <c r="F1107" s="12">
        <f>DATE(2016,4,30)</f>
        <v>42490</v>
      </c>
      <c r="G1107" s="13">
        <v>1971</v>
      </c>
      <c r="H1107" s="9">
        <v>1</v>
      </c>
      <c r="I1107" s="15" t="s">
        <v>15</v>
      </c>
      <c r="J1107" s="15" t="s">
        <v>271</v>
      </c>
    </row>
    <row r="1108" spans="1:35" s="14" customFormat="1" ht="12" customHeight="1" x14ac:dyDescent="0.25">
      <c r="A1108" s="9">
        <v>1106</v>
      </c>
      <c r="B1108" s="14" t="s">
        <v>2628</v>
      </c>
      <c r="C1108" s="14" t="s">
        <v>2629</v>
      </c>
      <c r="D1108" s="27" t="s">
        <v>44</v>
      </c>
      <c r="E1108" s="15" t="str">
        <f>B1108</f>
        <v>Obeticholic acid</v>
      </c>
      <c r="F1108" s="12">
        <f>DATE(2020,12,10)</f>
        <v>44175</v>
      </c>
      <c r="G1108" s="13">
        <v>2016</v>
      </c>
      <c r="H1108" s="9">
        <v>1</v>
      </c>
      <c r="I1108" s="15" t="s">
        <v>182</v>
      </c>
      <c r="J1108" s="15" t="s">
        <v>2630</v>
      </c>
    </row>
    <row r="1109" spans="1:35" s="14" customFormat="1" ht="12" customHeight="1" x14ac:dyDescent="0.25">
      <c r="A1109" s="9">
        <v>1107</v>
      </c>
      <c r="B1109" s="14" t="s">
        <v>2631</v>
      </c>
      <c r="C1109" s="14" t="s">
        <v>2632</v>
      </c>
      <c r="D1109" s="9" t="s">
        <v>31</v>
      </c>
      <c r="E1109" s="15" t="s">
        <v>2633</v>
      </c>
      <c r="F1109" s="20">
        <f>DATE(2017,4,3)</f>
        <v>42828</v>
      </c>
      <c r="G1109" s="13">
        <v>2016</v>
      </c>
      <c r="H1109" s="9">
        <v>1</v>
      </c>
      <c r="I1109" s="15" t="s">
        <v>15</v>
      </c>
      <c r="J1109" s="15" t="s">
        <v>225</v>
      </c>
    </row>
    <row r="1110" spans="1:35" s="14" customFormat="1" ht="12" customHeight="1" x14ac:dyDescent="0.25">
      <c r="A1110" s="9">
        <v>1108</v>
      </c>
      <c r="B1110" s="14" t="s">
        <v>2634</v>
      </c>
      <c r="C1110" s="14" t="s">
        <v>2635</v>
      </c>
      <c r="D1110" s="9" t="s">
        <v>44</v>
      </c>
      <c r="E1110" s="15" t="str">
        <f>B1110</f>
        <v>Ocrelizumab</v>
      </c>
      <c r="F1110" s="12">
        <f>DATE(2025,9,30)</f>
        <v>45930</v>
      </c>
      <c r="G1110" s="13">
        <v>2017</v>
      </c>
      <c r="H1110" s="9">
        <v>1</v>
      </c>
      <c r="I1110" s="15" t="s">
        <v>100</v>
      </c>
      <c r="J1110" s="15" t="s">
        <v>1076</v>
      </c>
    </row>
    <row r="1111" spans="1:35" s="14" customFormat="1" ht="12" customHeight="1" x14ac:dyDescent="0.25">
      <c r="A1111" s="9">
        <v>1109</v>
      </c>
      <c r="B1111" s="14" t="s">
        <v>2636</v>
      </c>
      <c r="C1111" s="14" t="s">
        <v>2637</v>
      </c>
      <c r="D1111" s="9" t="s">
        <v>14</v>
      </c>
      <c r="E1111" s="15" t="str">
        <f>B1111</f>
        <v>Octreotide</v>
      </c>
      <c r="F1111" s="12">
        <f>DATE(2016,3,30)</f>
        <v>42459</v>
      </c>
      <c r="G1111" s="13">
        <v>1988</v>
      </c>
      <c r="H1111" s="9">
        <v>1</v>
      </c>
      <c r="I1111" s="15" t="s">
        <v>45</v>
      </c>
      <c r="J1111" s="15" t="s">
        <v>2638</v>
      </c>
    </row>
    <row r="1112" spans="1:35" s="14" customFormat="1" ht="12" customHeight="1" x14ac:dyDescent="0.25">
      <c r="A1112" s="9">
        <v>1110</v>
      </c>
      <c r="B1112" s="15" t="s">
        <v>2639</v>
      </c>
      <c r="C1112" s="14" t="s">
        <v>378</v>
      </c>
      <c r="D1112" s="9" t="s">
        <v>31</v>
      </c>
      <c r="E1112" s="15" t="s">
        <v>379</v>
      </c>
      <c r="F1112" s="12">
        <f>DATE(2024,6,14)</f>
        <v>45457</v>
      </c>
      <c r="G1112" s="13">
        <v>2020</v>
      </c>
      <c r="H1112" s="9">
        <v>1</v>
      </c>
      <c r="I1112" s="15" t="s">
        <v>15</v>
      </c>
      <c r="J1112" s="15" t="s">
        <v>380</v>
      </c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</row>
    <row r="1113" spans="1:35" s="14" customFormat="1" ht="12" customHeight="1" x14ac:dyDescent="0.25">
      <c r="A1113" s="9">
        <v>1111</v>
      </c>
      <c r="B1113" s="14" t="s">
        <v>2640</v>
      </c>
      <c r="C1113" s="14" t="s">
        <v>2641</v>
      </c>
      <c r="D1113" s="9" t="s">
        <v>23</v>
      </c>
      <c r="E1113" s="15" t="s">
        <v>2640</v>
      </c>
      <c r="F1113" s="12">
        <f>DATE(2022,3,25)</f>
        <v>44645</v>
      </c>
      <c r="G1113" s="16">
        <v>2021</v>
      </c>
      <c r="H1113" s="9">
        <v>1</v>
      </c>
      <c r="I1113" s="15" t="s">
        <v>182</v>
      </c>
      <c r="J1113" s="15" t="s">
        <v>2642</v>
      </c>
    </row>
    <row r="1114" spans="1:35" s="14" customFormat="1" ht="12" customHeight="1" x14ac:dyDescent="0.25">
      <c r="A1114" s="9">
        <v>1112</v>
      </c>
      <c r="B1114" s="14" t="s">
        <v>2643</v>
      </c>
      <c r="C1114" s="14" t="s">
        <v>2644</v>
      </c>
      <c r="D1114" s="9" t="s">
        <v>23</v>
      </c>
      <c r="E1114" s="15" t="str">
        <f>B1114</f>
        <v>Ofatumumab</v>
      </c>
      <c r="F1114" s="12">
        <f>DATE(2020,5,10)</f>
        <v>43961</v>
      </c>
      <c r="G1114" s="13">
        <v>2009</v>
      </c>
      <c r="H1114" s="9">
        <v>1</v>
      </c>
      <c r="I1114" s="15" t="s">
        <v>24</v>
      </c>
      <c r="J1114" s="15" t="s">
        <v>504</v>
      </c>
    </row>
    <row r="1115" spans="1:35" s="14" customFormat="1" ht="12" customHeight="1" x14ac:dyDescent="0.25">
      <c r="A1115" s="9">
        <v>1113</v>
      </c>
      <c r="B1115" s="14" t="s">
        <v>2645</v>
      </c>
      <c r="C1115" s="14" t="s">
        <v>2646</v>
      </c>
      <c r="D1115" s="9" t="s">
        <v>166</v>
      </c>
      <c r="E1115" s="15" t="str">
        <f>B1115</f>
        <v>Ofloxacin</v>
      </c>
      <c r="F1115" s="12">
        <f>DATE(2020,3,10)</f>
        <v>43900</v>
      </c>
      <c r="G1115" s="13">
        <v>1990</v>
      </c>
      <c r="H1115" s="9">
        <v>1</v>
      </c>
      <c r="I1115" s="15" t="s">
        <v>15</v>
      </c>
      <c r="J1115" s="15" t="s">
        <v>225</v>
      </c>
    </row>
    <row r="1116" spans="1:35" s="14" customFormat="1" ht="12" customHeight="1" x14ac:dyDescent="0.25">
      <c r="A1116" s="9">
        <v>1114</v>
      </c>
      <c r="B1116" s="14" t="s">
        <v>2647</v>
      </c>
      <c r="C1116" s="14" t="s">
        <v>2648</v>
      </c>
      <c r="D1116" s="9" t="s">
        <v>166</v>
      </c>
      <c r="E1116" s="15" t="str">
        <f>B1116</f>
        <v>Olanzapine</v>
      </c>
      <c r="F1116" s="12">
        <f>DATE(2023,6,5)</f>
        <v>45082</v>
      </c>
      <c r="G1116" s="13">
        <v>1996</v>
      </c>
      <c r="H1116" s="9">
        <v>1</v>
      </c>
      <c r="I1116" s="15" t="s">
        <v>100</v>
      </c>
      <c r="J1116" s="15" t="s">
        <v>328</v>
      </c>
    </row>
    <row r="1117" spans="1:35" s="14" customFormat="1" ht="12" customHeight="1" x14ac:dyDescent="0.25">
      <c r="A1117" s="9">
        <v>1115</v>
      </c>
      <c r="B1117" s="14" t="s">
        <v>2649</v>
      </c>
      <c r="C1117" s="14" t="s">
        <v>2650</v>
      </c>
      <c r="D1117" s="9" t="s">
        <v>31</v>
      </c>
      <c r="E1117" s="15" t="str">
        <f>B1117</f>
        <v>Olaparib</v>
      </c>
      <c r="F1117" s="12">
        <f>DATE(2017,3,8)</f>
        <v>42802</v>
      </c>
      <c r="G1117" s="13">
        <v>2014</v>
      </c>
      <c r="H1117" s="9">
        <v>1</v>
      </c>
      <c r="I1117" s="15" t="s">
        <v>24</v>
      </c>
      <c r="J1117" s="15" t="s">
        <v>2651</v>
      </c>
    </row>
    <row r="1118" spans="1:35" s="14" customFormat="1" ht="12" customHeight="1" x14ac:dyDescent="0.25">
      <c r="A1118" s="9">
        <v>1116</v>
      </c>
      <c r="B1118" s="14" t="s">
        <v>2652</v>
      </c>
      <c r="C1118" s="14" t="s">
        <v>2653</v>
      </c>
      <c r="D1118" s="27" t="s">
        <v>31</v>
      </c>
      <c r="E1118" s="15" t="str">
        <f>B1118</f>
        <v>Olaratumab</v>
      </c>
      <c r="F1118" s="12">
        <f>DATE(2017,5,29)</f>
        <v>42884</v>
      </c>
      <c r="G1118" s="13">
        <v>2016</v>
      </c>
      <c r="H1118" s="13">
        <v>1</v>
      </c>
      <c r="I1118" s="15" t="s">
        <v>24</v>
      </c>
      <c r="J1118" s="15" t="s">
        <v>2654</v>
      </c>
    </row>
    <row r="1119" spans="1:35" s="14" customFormat="1" ht="12" customHeight="1" x14ac:dyDescent="0.25">
      <c r="A1119" s="9">
        <v>1117</v>
      </c>
      <c r="B1119" s="14" t="s">
        <v>2655</v>
      </c>
      <c r="C1119" s="14" t="s">
        <v>2656</v>
      </c>
      <c r="D1119" s="9" t="s">
        <v>77</v>
      </c>
      <c r="E1119" s="14" t="s">
        <v>2655</v>
      </c>
      <c r="F1119" s="12"/>
      <c r="G1119" s="13">
        <v>2024</v>
      </c>
      <c r="H1119" s="13">
        <v>0</v>
      </c>
      <c r="I1119" s="14" t="s">
        <v>324</v>
      </c>
      <c r="J1119" s="14" t="s">
        <v>2657</v>
      </c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</row>
    <row r="1120" spans="1:35" s="14" customFormat="1" ht="12" customHeight="1" x14ac:dyDescent="0.25">
      <c r="A1120" s="9">
        <v>1118</v>
      </c>
      <c r="B1120" s="14" t="s">
        <v>2658</v>
      </c>
      <c r="C1120" s="14" t="s">
        <v>2659</v>
      </c>
      <c r="D1120" s="9" t="s">
        <v>31</v>
      </c>
      <c r="E1120" s="15" t="s">
        <v>2658</v>
      </c>
      <c r="F1120" s="12">
        <f>DATE(2024,7,5)</f>
        <v>45478</v>
      </c>
      <c r="G1120" s="16">
        <v>2020</v>
      </c>
      <c r="H1120" s="13">
        <v>1</v>
      </c>
      <c r="I1120" s="15" t="s">
        <v>54</v>
      </c>
      <c r="J1120" s="15" t="s">
        <v>148</v>
      </c>
    </row>
    <row r="1121" spans="1:35" s="14" customFormat="1" ht="12" customHeight="1" x14ac:dyDescent="0.25">
      <c r="A1121" s="9">
        <v>1119</v>
      </c>
      <c r="B1121" s="14" t="s">
        <v>2660</v>
      </c>
      <c r="C1121" s="14" t="s">
        <v>2661</v>
      </c>
      <c r="D1121" s="9" t="s">
        <v>77</v>
      </c>
      <c r="E1121" s="14" t="s">
        <v>2662</v>
      </c>
      <c r="F1121" s="9"/>
      <c r="G1121" s="13">
        <v>2022</v>
      </c>
      <c r="H1121" s="13">
        <v>0</v>
      </c>
      <c r="I1121" s="15" t="s">
        <v>104</v>
      </c>
      <c r="J1121" s="15" t="s">
        <v>2663</v>
      </c>
      <c r="K1121" s="13"/>
      <c r="L1121" s="13"/>
    </row>
    <row r="1122" spans="1:35" s="14" customFormat="1" ht="12" customHeight="1" x14ac:dyDescent="0.25">
      <c r="A1122" s="9">
        <v>1120</v>
      </c>
      <c r="B1122" s="14" t="s">
        <v>2664</v>
      </c>
      <c r="C1122" s="14" t="s">
        <v>2665</v>
      </c>
      <c r="D1122" s="9" t="s">
        <v>36</v>
      </c>
      <c r="E1122" s="15" t="str">
        <f>B1122</f>
        <v xml:space="preserve">Olmesartan </v>
      </c>
      <c r="F1122" s="12">
        <f>DATE(2017,1,13)</f>
        <v>42748</v>
      </c>
      <c r="G1122" s="13">
        <v>2002</v>
      </c>
      <c r="H1122" s="13">
        <v>1</v>
      </c>
      <c r="I1122" s="15" t="s">
        <v>49</v>
      </c>
      <c r="J1122" s="15" t="s">
        <v>50</v>
      </c>
    </row>
    <row r="1123" spans="1:35" s="14" customFormat="1" ht="12" customHeight="1" x14ac:dyDescent="0.25">
      <c r="A1123" s="9">
        <v>1121</v>
      </c>
      <c r="B1123" s="14" t="s">
        <v>2666</v>
      </c>
      <c r="C1123" s="14" t="s">
        <v>2667</v>
      </c>
      <c r="D1123" s="9" t="s">
        <v>14</v>
      </c>
      <c r="E1123" s="15" t="s">
        <v>460</v>
      </c>
      <c r="F1123" s="12">
        <f>DATE(2017,9,26)</f>
        <v>43004</v>
      </c>
      <c r="G1123" s="13">
        <v>2003</v>
      </c>
      <c r="H1123" s="13">
        <v>1</v>
      </c>
      <c r="I1123" s="15" t="s">
        <v>182</v>
      </c>
      <c r="J1123" s="15" t="s">
        <v>461</v>
      </c>
    </row>
    <row r="1124" spans="1:35" s="14" customFormat="1" ht="12" customHeight="1" x14ac:dyDescent="0.25">
      <c r="A1124" s="9">
        <v>1122</v>
      </c>
      <c r="B1124" s="14" t="s">
        <v>2668</v>
      </c>
      <c r="C1124" s="14" t="s">
        <v>2669</v>
      </c>
      <c r="D1124" s="9" t="s">
        <v>36</v>
      </c>
      <c r="E1124" s="14" t="s">
        <v>2668</v>
      </c>
      <c r="F1124" s="12">
        <f>DATE(2024,2,5)</f>
        <v>45327</v>
      </c>
      <c r="G1124" s="13">
        <v>2022</v>
      </c>
      <c r="H1124" s="13">
        <v>1</v>
      </c>
      <c r="I1124" s="15" t="s">
        <v>24</v>
      </c>
      <c r="J1124" s="15" t="s">
        <v>2670</v>
      </c>
      <c r="K1124" s="13"/>
      <c r="L1124" s="13"/>
    </row>
    <row r="1125" spans="1:35" s="14" customFormat="1" ht="12" customHeight="1" x14ac:dyDescent="0.25">
      <c r="A1125" s="9">
        <v>1123</v>
      </c>
      <c r="B1125" s="14" t="s">
        <v>2671</v>
      </c>
      <c r="C1125" s="14" t="s">
        <v>2672</v>
      </c>
      <c r="D1125" s="9" t="s">
        <v>31</v>
      </c>
      <c r="E1125" s="15" t="str">
        <f>B1125</f>
        <v>Omacetaxine</v>
      </c>
      <c r="F1125" s="12">
        <f>DATE(2017,1,6)</f>
        <v>42741</v>
      </c>
      <c r="G1125" s="13">
        <v>2012</v>
      </c>
      <c r="H1125" s="13">
        <v>1</v>
      </c>
      <c r="I1125" s="15" t="s">
        <v>24</v>
      </c>
      <c r="J1125" s="15" t="s">
        <v>596</v>
      </c>
    </row>
    <row r="1126" spans="1:35" s="14" customFormat="1" ht="12" customHeight="1" x14ac:dyDescent="0.3">
      <c r="A1126" s="9">
        <v>1124</v>
      </c>
      <c r="B1126" s="14" t="s">
        <v>2673</v>
      </c>
      <c r="C1126" s="23" t="s">
        <v>2674</v>
      </c>
      <c r="D1126" s="9" t="s">
        <v>23</v>
      </c>
      <c r="E1126" s="15" t="str">
        <f>B1126</f>
        <v>Omadacycline</v>
      </c>
      <c r="F1126" s="20">
        <f>DATE(2019,12,10)</f>
        <v>43809</v>
      </c>
      <c r="G1126" s="13">
        <v>2018</v>
      </c>
      <c r="H1126" s="13">
        <v>1</v>
      </c>
      <c r="I1126" s="15" t="s">
        <v>15</v>
      </c>
      <c r="J1126" s="15" t="s">
        <v>2675</v>
      </c>
    </row>
    <row r="1127" spans="1:35" s="14" customFormat="1" ht="12" customHeight="1" x14ac:dyDescent="0.3">
      <c r="A1127" s="9">
        <v>1125</v>
      </c>
      <c r="B1127" s="14" t="s">
        <v>2676</v>
      </c>
      <c r="C1127" s="14" t="s">
        <v>2677</v>
      </c>
      <c r="D1127" s="9" t="s">
        <v>77</v>
      </c>
      <c r="E1127" s="14" t="s">
        <v>2676</v>
      </c>
      <c r="F1127" s="9"/>
      <c r="G1127" s="13">
        <v>2025</v>
      </c>
      <c r="H1127" s="16">
        <v>0</v>
      </c>
      <c r="I1127" s="14" t="s">
        <v>613</v>
      </c>
      <c r="J1127" s="14" t="s">
        <v>128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</row>
    <row r="1128" spans="1:35" s="14" customFormat="1" ht="12" customHeight="1" x14ac:dyDescent="0.25">
      <c r="A1128" s="9">
        <v>1126</v>
      </c>
      <c r="B1128" s="14" t="s">
        <v>2676</v>
      </c>
      <c r="C1128" s="14" t="s">
        <v>2678</v>
      </c>
      <c r="D1128" s="9" t="s">
        <v>31</v>
      </c>
      <c r="E1128" s="15" t="str">
        <f>B1128</f>
        <v>Omalizumab</v>
      </c>
      <c r="F1128" s="12">
        <f>DATE(2020,12,28)</f>
        <v>44193</v>
      </c>
      <c r="G1128" s="13">
        <v>2003</v>
      </c>
      <c r="H1128" s="13">
        <v>1</v>
      </c>
      <c r="I1128" s="15" t="s">
        <v>73</v>
      </c>
      <c r="J1128" s="15" t="s">
        <v>128</v>
      </c>
    </row>
    <row r="1129" spans="1:35" s="14" customFormat="1" ht="12" customHeight="1" x14ac:dyDescent="0.25">
      <c r="A1129" s="9">
        <v>1127</v>
      </c>
      <c r="B1129" s="14" t="s">
        <v>2679</v>
      </c>
      <c r="C1129" s="14" t="s">
        <v>2680</v>
      </c>
      <c r="D1129" s="9" t="s">
        <v>23</v>
      </c>
      <c r="E1129" s="14" t="s">
        <v>2679</v>
      </c>
      <c r="F1129" s="12">
        <f>DATE(2025,2,9)</f>
        <v>45697</v>
      </c>
      <c r="G1129" s="13">
        <v>2023</v>
      </c>
      <c r="H1129" s="13">
        <v>1</v>
      </c>
      <c r="I1129" s="15" t="s">
        <v>324</v>
      </c>
      <c r="J1129" s="15" t="s">
        <v>2681</v>
      </c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</row>
    <row r="1130" spans="1:35" s="14" customFormat="1" ht="12" customHeight="1" x14ac:dyDescent="0.25">
      <c r="A1130" s="9">
        <v>1128</v>
      </c>
      <c r="B1130" s="14" t="s">
        <v>2682</v>
      </c>
      <c r="C1130" s="14" t="s">
        <v>1114</v>
      </c>
      <c r="D1130" s="9" t="s">
        <v>44</v>
      </c>
      <c r="E1130" s="15" t="s">
        <v>1114</v>
      </c>
      <c r="F1130" s="12">
        <f>DATE(2018,1,10)</f>
        <v>43110</v>
      </c>
      <c r="G1130" s="13">
        <v>2014</v>
      </c>
      <c r="H1130" s="13">
        <v>1</v>
      </c>
      <c r="I1130" s="15" t="s">
        <v>15</v>
      </c>
      <c r="J1130" s="15" t="s">
        <v>366</v>
      </c>
    </row>
    <row r="1131" spans="1:35" s="14" customFormat="1" ht="12" customHeight="1" x14ac:dyDescent="0.25">
      <c r="A1131" s="9">
        <v>1129</v>
      </c>
      <c r="B1131" s="14" t="s">
        <v>2683</v>
      </c>
      <c r="C1131" s="14" t="s">
        <v>2684</v>
      </c>
      <c r="D1131" s="9" t="s">
        <v>31</v>
      </c>
      <c r="E1131" s="15" t="s">
        <v>189</v>
      </c>
      <c r="F1131" s="12">
        <f>DATE(2017,4,3)</f>
        <v>42828</v>
      </c>
      <c r="G1131" s="13">
        <v>2014</v>
      </c>
      <c r="H1131" s="13">
        <v>1</v>
      </c>
      <c r="I1131" s="15" t="s">
        <v>190</v>
      </c>
      <c r="J1131" s="15" t="s">
        <v>161</v>
      </c>
    </row>
    <row r="1132" spans="1:35" s="14" customFormat="1" ht="12" customHeight="1" x14ac:dyDescent="0.25">
      <c r="A1132" s="9">
        <v>1130</v>
      </c>
      <c r="B1132" s="14" t="s">
        <v>2685</v>
      </c>
      <c r="C1132" s="14" t="s">
        <v>2686</v>
      </c>
      <c r="D1132" s="9" t="s">
        <v>31</v>
      </c>
      <c r="E1132" s="15" t="s">
        <v>189</v>
      </c>
      <c r="F1132" s="12">
        <f>DATE(2017,4,3)</f>
        <v>42828</v>
      </c>
      <c r="G1132" s="13">
        <v>2004</v>
      </c>
      <c r="H1132" s="13">
        <v>1</v>
      </c>
      <c r="I1132" s="15" t="s">
        <v>190</v>
      </c>
      <c r="J1132" s="15" t="s">
        <v>161</v>
      </c>
    </row>
    <row r="1133" spans="1:35" s="14" customFormat="1" ht="12" customHeight="1" x14ac:dyDescent="0.25">
      <c r="A1133" s="9">
        <v>1131</v>
      </c>
      <c r="B1133" s="14" t="s">
        <v>2687</v>
      </c>
      <c r="C1133" s="14" t="s">
        <v>188</v>
      </c>
      <c r="D1133" s="9" t="s">
        <v>31</v>
      </c>
      <c r="E1133" s="15" t="s">
        <v>189</v>
      </c>
      <c r="F1133" s="12">
        <f>DATE(2017,4,3)</f>
        <v>42828</v>
      </c>
      <c r="G1133" s="13" t="s">
        <v>174</v>
      </c>
      <c r="H1133" s="13">
        <v>1</v>
      </c>
      <c r="I1133" s="15" t="s">
        <v>190</v>
      </c>
      <c r="J1133" s="15" t="s">
        <v>161</v>
      </c>
    </row>
    <row r="1134" spans="1:35" s="14" customFormat="1" ht="12" customHeight="1" x14ac:dyDescent="0.25">
      <c r="A1134" s="9">
        <v>1132</v>
      </c>
      <c r="B1134" s="14" t="s">
        <v>1514</v>
      </c>
      <c r="C1134" s="14" t="s">
        <v>2688</v>
      </c>
      <c r="D1134" s="9" t="s">
        <v>44</v>
      </c>
      <c r="E1134" s="15" t="str">
        <f>B1134</f>
        <v>Omeprazole</v>
      </c>
      <c r="F1134" s="12">
        <f>DATE(2018,2,19)</f>
        <v>43150</v>
      </c>
      <c r="G1134" s="13">
        <v>1989</v>
      </c>
      <c r="H1134" s="13">
        <v>1</v>
      </c>
      <c r="I1134" s="15" t="s">
        <v>182</v>
      </c>
      <c r="J1134" s="15" t="s">
        <v>918</v>
      </c>
    </row>
    <row r="1135" spans="1:35" s="14" customFormat="1" ht="12" customHeight="1" x14ac:dyDescent="0.25">
      <c r="A1135" s="9">
        <v>1133</v>
      </c>
      <c r="B1135" s="14" t="s">
        <v>2689</v>
      </c>
      <c r="C1135" s="14" t="s">
        <v>2690</v>
      </c>
      <c r="D1135" s="9" t="s">
        <v>36</v>
      </c>
      <c r="E1135" s="15" t="str">
        <f>B1135</f>
        <v>Onasemnogene abeparvovec</v>
      </c>
      <c r="F1135" s="18">
        <f>DATE(2020,10,20)</f>
        <v>44124</v>
      </c>
      <c r="G1135" s="13">
        <v>2019</v>
      </c>
      <c r="H1135" s="13">
        <v>1</v>
      </c>
      <c r="I1135" s="15" t="s">
        <v>104</v>
      </c>
      <c r="J1135" s="15" t="s">
        <v>2691</v>
      </c>
    </row>
    <row r="1136" spans="1:35" s="14" customFormat="1" ht="12" customHeight="1" x14ac:dyDescent="0.25">
      <c r="A1136" s="9">
        <v>1134</v>
      </c>
      <c r="B1136" s="14" t="s">
        <v>2692</v>
      </c>
      <c r="C1136" s="14" t="s">
        <v>2693</v>
      </c>
      <c r="D1136" s="9" t="s">
        <v>36</v>
      </c>
      <c r="E1136" s="15" t="s">
        <v>2694</v>
      </c>
      <c r="F1136" s="12">
        <f>DATE(2018,1,14)</f>
        <v>43114</v>
      </c>
      <c r="G1136" s="13">
        <v>1999</v>
      </c>
      <c r="H1136" s="13">
        <v>1</v>
      </c>
      <c r="I1136" s="15" t="s">
        <v>182</v>
      </c>
      <c r="J1136" s="15" t="s">
        <v>318</v>
      </c>
    </row>
    <row r="1137" spans="1:35" s="14" customFormat="1" ht="12" customHeight="1" x14ac:dyDescent="0.25">
      <c r="A1137" s="9">
        <v>1135</v>
      </c>
      <c r="B1137" s="14" t="s">
        <v>2695</v>
      </c>
      <c r="C1137" s="14" t="s">
        <v>2696</v>
      </c>
      <c r="D1137" s="9" t="s">
        <v>31</v>
      </c>
      <c r="E1137" s="15" t="str">
        <f>B1137</f>
        <v>Opicapone</v>
      </c>
      <c r="F1137" s="12">
        <f>DATE(2021,10,20)</f>
        <v>44489</v>
      </c>
      <c r="G1137" s="13">
        <v>2020</v>
      </c>
      <c r="H1137" s="13">
        <v>1</v>
      </c>
      <c r="I1137" s="15" t="s">
        <v>100</v>
      </c>
      <c r="J1137" s="15" t="s">
        <v>210</v>
      </c>
    </row>
    <row r="1138" spans="1:35" s="14" customFormat="1" ht="12" customHeight="1" x14ac:dyDescent="0.25">
      <c r="A1138" s="9">
        <v>1136</v>
      </c>
      <c r="B1138" s="10" t="s">
        <v>2697</v>
      </c>
      <c r="C1138" s="10" t="s">
        <v>188</v>
      </c>
      <c r="D1138" s="9" t="s">
        <v>31</v>
      </c>
      <c r="E1138" s="15" t="s">
        <v>1841</v>
      </c>
      <c r="F1138" s="12">
        <f>DATE(2020,11,24)</f>
        <v>44159</v>
      </c>
      <c r="G1138" s="13" t="s">
        <v>174</v>
      </c>
      <c r="H1138" s="13">
        <v>1</v>
      </c>
      <c r="I1138" s="15" t="s">
        <v>54</v>
      </c>
      <c r="J1138" s="15" t="s">
        <v>148</v>
      </c>
    </row>
    <row r="1139" spans="1:35" s="14" customFormat="1" ht="12" customHeight="1" x14ac:dyDescent="0.25">
      <c r="A1139" s="9">
        <v>1137</v>
      </c>
      <c r="B1139" s="14" t="s">
        <v>2698</v>
      </c>
      <c r="C1139" s="14" t="s">
        <v>2699</v>
      </c>
      <c r="D1139" s="9" t="s">
        <v>31</v>
      </c>
      <c r="E1139" s="15" t="str">
        <f>B1139</f>
        <v>Oprelvekin</v>
      </c>
      <c r="F1139" s="12">
        <f>DATE(2016,6,5)</f>
        <v>42526</v>
      </c>
      <c r="G1139" s="13">
        <v>1997</v>
      </c>
      <c r="H1139" s="13">
        <v>1</v>
      </c>
      <c r="I1139" s="15" t="s">
        <v>230</v>
      </c>
      <c r="J1139" s="15" t="s">
        <v>421</v>
      </c>
    </row>
    <row r="1140" spans="1:35" s="14" customFormat="1" ht="12" customHeight="1" x14ac:dyDescent="0.25">
      <c r="A1140" s="9">
        <v>1138</v>
      </c>
      <c r="B1140" s="11" t="s">
        <v>2700</v>
      </c>
      <c r="C1140" s="11" t="s">
        <v>188</v>
      </c>
      <c r="D1140" s="9" t="s">
        <v>31</v>
      </c>
      <c r="E1140" s="15" t="s">
        <v>2700</v>
      </c>
      <c r="F1140" s="12">
        <f>DATE(2023,4,27)</f>
        <v>45043</v>
      </c>
      <c r="G1140" s="13" t="s">
        <v>174</v>
      </c>
      <c r="H1140" s="13">
        <v>1</v>
      </c>
      <c r="I1140" s="15" t="s">
        <v>175</v>
      </c>
      <c r="J1140" s="15" t="s">
        <v>2701</v>
      </c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</row>
    <row r="1141" spans="1:35" s="14" customFormat="1" ht="12" customHeight="1" x14ac:dyDescent="0.25">
      <c r="A1141" s="9">
        <v>1139</v>
      </c>
      <c r="B1141" s="10" t="s">
        <v>2702</v>
      </c>
      <c r="C1141" s="10" t="s">
        <v>2703</v>
      </c>
      <c r="D1141" s="9" t="s">
        <v>31</v>
      </c>
      <c r="E1141" s="15" t="s">
        <v>1073</v>
      </c>
      <c r="F1141" s="12">
        <f>DATE(2017,11,12)</f>
        <v>43051</v>
      </c>
      <c r="G1141" s="13">
        <v>2014</v>
      </c>
      <c r="H1141" s="13">
        <v>1</v>
      </c>
      <c r="I1141" s="15" t="s">
        <v>15</v>
      </c>
      <c r="J1141" s="15" t="s">
        <v>225</v>
      </c>
    </row>
    <row r="1142" spans="1:35" s="14" customFormat="1" ht="12" customHeight="1" x14ac:dyDescent="0.25">
      <c r="A1142" s="9">
        <v>1140</v>
      </c>
      <c r="B1142" s="10" t="s">
        <v>2704</v>
      </c>
      <c r="C1142" s="10" t="s">
        <v>2705</v>
      </c>
      <c r="D1142" s="9" t="s">
        <v>14</v>
      </c>
      <c r="E1142" s="15" t="str">
        <f>B1142</f>
        <v>Orlistat</v>
      </c>
      <c r="F1142" s="12">
        <f>DATE(2020,6,5)</f>
        <v>43987</v>
      </c>
      <c r="G1142" s="13">
        <v>1999</v>
      </c>
      <c r="H1142" s="13">
        <v>1</v>
      </c>
      <c r="I1142" s="15" t="s">
        <v>520</v>
      </c>
      <c r="J1142" s="15" t="s">
        <v>521</v>
      </c>
    </row>
    <row r="1143" spans="1:35" s="14" customFormat="1" ht="12" customHeight="1" x14ac:dyDescent="0.25">
      <c r="A1143" s="9">
        <v>1141</v>
      </c>
      <c r="B1143" s="10" t="s">
        <v>2706</v>
      </c>
      <c r="C1143" s="10" t="s">
        <v>2707</v>
      </c>
      <c r="D1143" s="9" t="s">
        <v>31</v>
      </c>
      <c r="E1143" s="15" t="str">
        <f>B1143</f>
        <v>Orphenadrine</v>
      </c>
      <c r="F1143" s="12">
        <f>DATE(2017,1,30)</f>
        <v>42765</v>
      </c>
      <c r="G1143" s="13">
        <v>1959</v>
      </c>
      <c r="H1143" s="13">
        <v>1</v>
      </c>
      <c r="I1143" s="15" t="s">
        <v>100</v>
      </c>
      <c r="J1143" s="15" t="s">
        <v>451</v>
      </c>
    </row>
    <row r="1144" spans="1:35" s="14" customFormat="1" ht="12" customHeight="1" x14ac:dyDescent="0.25">
      <c r="A1144" s="9">
        <v>1142</v>
      </c>
      <c r="B1144" s="10" t="s">
        <v>2708</v>
      </c>
      <c r="C1144" s="10" t="s">
        <v>2709</v>
      </c>
      <c r="D1144" s="9" t="s">
        <v>36</v>
      </c>
      <c r="E1144" s="15" t="str">
        <f>B1144</f>
        <v>Oseltamivir</v>
      </c>
      <c r="F1144" s="12">
        <f>DATE(2020,6,22)</f>
        <v>44004</v>
      </c>
      <c r="G1144" s="13">
        <v>1999</v>
      </c>
      <c r="H1144" s="13">
        <v>1</v>
      </c>
      <c r="I1144" s="15" t="s">
        <v>15</v>
      </c>
      <c r="J1144" s="15" t="s">
        <v>2710</v>
      </c>
    </row>
    <row r="1145" spans="1:35" s="14" customFormat="1" ht="12" customHeight="1" x14ac:dyDescent="0.25">
      <c r="A1145" s="9">
        <v>1143</v>
      </c>
      <c r="B1145" s="14" t="s">
        <v>2711</v>
      </c>
      <c r="C1145" s="14" t="s">
        <v>2712</v>
      </c>
      <c r="D1145" s="9" t="s">
        <v>31</v>
      </c>
      <c r="E1145" s="15" t="s">
        <v>2711</v>
      </c>
      <c r="F1145" s="12">
        <f>DATE(2024,5,14)</f>
        <v>45426</v>
      </c>
      <c r="G1145" s="16">
        <v>2020</v>
      </c>
      <c r="H1145" s="13">
        <v>1</v>
      </c>
      <c r="I1145" s="15" t="s">
        <v>45</v>
      </c>
      <c r="J1145" s="15" t="s">
        <v>2713</v>
      </c>
    </row>
    <row r="1146" spans="1:35" s="14" customFormat="1" ht="12" customHeight="1" x14ac:dyDescent="0.25">
      <c r="A1146" s="9">
        <v>1144</v>
      </c>
      <c r="B1146" s="14" t="s">
        <v>2714</v>
      </c>
      <c r="C1146" s="14" t="s">
        <v>2715</v>
      </c>
      <c r="D1146" s="9" t="s">
        <v>23</v>
      </c>
      <c r="E1146" s="15" t="str">
        <f>B1146</f>
        <v>Osimertinib</v>
      </c>
      <c r="F1146" s="12">
        <f>DATE(2017,3,8)</f>
        <v>42802</v>
      </c>
      <c r="G1146" s="13">
        <v>2015</v>
      </c>
      <c r="H1146" s="13">
        <v>1</v>
      </c>
      <c r="I1146" s="15" t="s">
        <v>24</v>
      </c>
      <c r="J1146" s="15" t="s">
        <v>108</v>
      </c>
    </row>
    <row r="1147" spans="1:35" s="14" customFormat="1" ht="12" customHeight="1" x14ac:dyDescent="0.25">
      <c r="A1147" s="9">
        <v>1145</v>
      </c>
      <c r="B1147" s="14" t="s">
        <v>2716</v>
      </c>
      <c r="C1147" s="14" t="s">
        <v>2717</v>
      </c>
      <c r="D1147" s="9" t="s">
        <v>31</v>
      </c>
      <c r="E1147" s="15" t="s">
        <v>2718</v>
      </c>
      <c r="F1147" s="12">
        <f>DATE(2016,6,8)</f>
        <v>42529</v>
      </c>
      <c r="G1147" s="13">
        <v>2013</v>
      </c>
      <c r="H1147" s="13">
        <v>1</v>
      </c>
      <c r="I1147" s="15" t="s">
        <v>473</v>
      </c>
      <c r="J1147" s="15" t="s">
        <v>474</v>
      </c>
    </row>
    <row r="1148" spans="1:35" s="14" customFormat="1" ht="12" customHeight="1" x14ac:dyDescent="0.25">
      <c r="A1148" s="9">
        <v>1146</v>
      </c>
      <c r="B1148" s="14" t="s">
        <v>2719</v>
      </c>
      <c r="C1148" s="14" t="s">
        <v>2720</v>
      </c>
      <c r="D1148" s="9" t="s">
        <v>77</v>
      </c>
      <c r="E1148" s="14" t="s">
        <v>2719</v>
      </c>
      <c r="F1148" s="9"/>
      <c r="G1148" s="13">
        <v>2022</v>
      </c>
      <c r="H1148" s="13">
        <v>0</v>
      </c>
      <c r="I1148" s="15" t="s">
        <v>15</v>
      </c>
      <c r="J1148" s="15" t="s">
        <v>2721</v>
      </c>
      <c r="K1148" s="13"/>
      <c r="L1148" s="13"/>
    </row>
    <row r="1149" spans="1:35" s="14" customFormat="1" ht="12" customHeight="1" x14ac:dyDescent="0.25">
      <c r="A1149" s="9">
        <v>1147</v>
      </c>
      <c r="B1149" s="14" t="s">
        <v>2722</v>
      </c>
      <c r="C1149" s="14" t="s">
        <v>2723</v>
      </c>
      <c r="D1149" s="13" t="s">
        <v>44</v>
      </c>
      <c r="E1149" s="15" t="str">
        <f>B1149</f>
        <v>Oxacillin</v>
      </c>
      <c r="F1149" s="12">
        <f>DATE(2020,10,20)</f>
        <v>44124</v>
      </c>
      <c r="G1149" s="13">
        <v>1989</v>
      </c>
      <c r="H1149" s="13">
        <v>1</v>
      </c>
      <c r="I1149" s="15" t="s">
        <v>15</v>
      </c>
      <c r="J1149" s="15" t="s">
        <v>225</v>
      </c>
    </row>
    <row r="1150" spans="1:35" s="14" customFormat="1" ht="12" customHeight="1" x14ac:dyDescent="0.25">
      <c r="A1150" s="9">
        <v>1148</v>
      </c>
      <c r="B1150" s="14" t="s">
        <v>2724</v>
      </c>
      <c r="C1150" s="14" t="s">
        <v>2725</v>
      </c>
      <c r="D1150" s="13" t="s">
        <v>166</v>
      </c>
      <c r="E1150" s="15" t="str">
        <f>B1150</f>
        <v>Oxaliplatin</v>
      </c>
      <c r="F1150" s="20">
        <f>DATE(2020,9,12)</f>
        <v>44086</v>
      </c>
      <c r="G1150" s="13">
        <v>2002</v>
      </c>
      <c r="H1150" s="13">
        <v>1</v>
      </c>
      <c r="I1150" s="15" t="s">
        <v>24</v>
      </c>
      <c r="J1150" s="15" t="s">
        <v>207</v>
      </c>
    </row>
    <row r="1151" spans="1:35" s="14" customFormat="1" ht="12" customHeight="1" x14ac:dyDescent="0.25">
      <c r="A1151" s="9">
        <v>1149</v>
      </c>
      <c r="B1151" s="14" t="s">
        <v>2726</v>
      </c>
      <c r="C1151" s="14" t="s">
        <v>2727</v>
      </c>
      <c r="D1151" s="13" t="s">
        <v>166</v>
      </c>
      <c r="E1151" s="15" t="s">
        <v>1085</v>
      </c>
      <c r="F1151" s="20">
        <f>DATE(2020,6,24)</f>
        <v>44006</v>
      </c>
      <c r="G1151" s="13">
        <v>1964</v>
      </c>
      <c r="H1151" s="13">
        <v>1</v>
      </c>
      <c r="I1151" s="15" t="s">
        <v>45</v>
      </c>
      <c r="J1151" s="15" t="s">
        <v>291</v>
      </c>
    </row>
    <row r="1152" spans="1:35" s="14" customFormat="1" ht="12" customHeight="1" x14ac:dyDescent="0.25">
      <c r="A1152" s="9">
        <v>1150</v>
      </c>
      <c r="B1152" s="14" t="s">
        <v>2728</v>
      </c>
      <c r="C1152" s="14" t="s">
        <v>2729</v>
      </c>
      <c r="D1152" s="13" t="s">
        <v>14</v>
      </c>
      <c r="E1152" s="15" t="str">
        <f t="shared" ref="E1152:E1158" si="26">B1152</f>
        <v>Oxaprozin</v>
      </c>
      <c r="F1152" s="12">
        <f>DATE(2025,7,25)</f>
        <v>45863</v>
      </c>
      <c r="G1152" s="13">
        <v>1992</v>
      </c>
      <c r="H1152" s="13">
        <v>1</v>
      </c>
      <c r="I1152" s="15" t="s">
        <v>54</v>
      </c>
      <c r="J1152" s="15" t="s">
        <v>55</v>
      </c>
    </row>
    <row r="1153" spans="1:12" s="14" customFormat="1" ht="12" customHeight="1" x14ac:dyDescent="0.25">
      <c r="A1153" s="9">
        <v>1151</v>
      </c>
      <c r="B1153" s="14" t="s">
        <v>2730</v>
      </c>
      <c r="C1153" s="14" t="s">
        <v>2731</v>
      </c>
      <c r="D1153" s="13" t="s">
        <v>31</v>
      </c>
      <c r="E1153" s="15" t="str">
        <f t="shared" si="26"/>
        <v>Oxazepam</v>
      </c>
      <c r="F1153" s="20">
        <f>DATE(2023,6,22)</f>
        <v>45099</v>
      </c>
      <c r="G1153" s="13">
        <v>1965</v>
      </c>
      <c r="H1153" s="13">
        <v>1</v>
      </c>
      <c r="I1153" s="15" t="s">
        <v>100</v>
      </c>
      <c r="J1153" s="15" t="s">
        <v>204</v>
      </c>
    </row>
    <row r="1154" spans="1:12" s="14" customFormat="1" ht="12" customHeight="1" x14ac:dyDescent="0.25">
      <c r="A1154" s="9">
        <v>1152</v>
      </c>
      <c r="B1154" s="14" t="s">
        <v>2732</v>
      </c>
      <c r="C1154" s="14" t="s">
        <v>2733</v>
      </c>
      <c r="D1154" s="13" t="s">
        <v>14</v>
      </c>
      <c r="E1154" s="15" t="str">
        <f t="shared" si="26"/>
        <v>Oxcarbazepine</v>
      </c>
      <c r="F1154" s="20">
        <f>DATE(2020,8,12)</f>
        <v>44055</v>
      </c>
      <c r="G1154" s="13">
        <v>2000</v>
      </c>
      <c r="H1154" s="13">
        <v>1</v>
      </c>
      <c r="I1154" s="15" t="s">
        <v>100</v>
      </c>
      <c r="J1154" s="15" t="s">
        <v>630</v>
      </c>
    </row>
    <row r="1155" spans="1:12" s="14" customFormat="1" ht="12" customHeight="1" x14ac:dyDescent="0.25">
      <c r="A1155" s="9">
        <v>1153</v>
      </c>
      <c r="B1155" s="14" t="s">
        <v>2734</v>
      </c>
      <c r="C1155" s="14" t="s">
        <v>2735</v>
      </c>
      <c r="D1155" s="13" t="s">
        <v>31</v>
      </c>
      <c r="E1155" s="15" t="str">
        <f t="shared" si="26"/>
        <v>Oxybate</v>
      </c>
      <c r="F1155" s="20">
        <f>DATE(2021,8,8)</f>
        <v>44416</v>
      </c>
      <c r="G1155" s="13">
        <v>2002</v>
      </c>
      <c r="H1155" s="13">
        <v>1</v>
      </c>
      <c r="I1155" s="15" t="s">
        <v>100</v>
      </c>
      <c r="J1155" s="15" t="s">
        <v>2736</v>
      </c>
    </row>
    <row r="1156" spans="1:12" s="14" customFormat="1" ht="12" customHeight="1" x14ac:dyDescent="0.25">
      <c r="A1156" s="9">
        <v>1154</v>
      </c>
      <c r="B1156" s="14" t="s">
        <v>2737</v>
      </c>
      <c r="C1156" s="14" t="s">
        <v>2738</v>
      </c>
      <c r="D1156" s="13" t="s">
        <v>31</v>
      </c>
      <c r="E1156" s="15" t="str">
        <f t="shared" si="26"/>
        <v>Oxybutynin</v>
      </c>
      <c r="F1156" s="20">
        <f>DATE(2023,7,12)</f>
        <v>45119</v>
      </c>
      <c r="G1156" s="13">
        <v>1975</v>
      </c>
      <c r="H1156" s="13">
        <v>1</v>
      </c>
      <c r="I1156" s="15" t="s">
        <v>151</v>
      </c>
      <c r="J1156" s="15" t="s">
        <v>1108</v>
      </c>
    </row>
    <row r="1157" spans="1:12" s="14" customFormat="1" ht="12" customHeight="1" x14ac:dyDescent="0.25">
      <c r="A1157" s="9">
        <v>1155</v>
      </c>
      <c r="B1157" s="14" t="s">
        <v>2739</v>
      </c>
      <c r="C1157" s="14" t="s">
        <v>2740</v>
      </c>
      <c r="D1157" s="13" t="s">
        <v>31</v>
      </c>
      <c r="E1157" s="15" t="str">
        <f t="shared" si="26"/>
        <v>Oxycodone</v>
      </c>
      <c r="F1157" s="20">
        <f>DATE(2020,11,24)</f>
        <v>44159</v>
      </c>
      <c r="G1157" s="13">
        <v>1991</v>
      </c>
      <c r="H1157" s="13">
        <v>1</v>
      </c>
      <c r="I1157" s="15" t="s">
        <v>54</v>
      </c>
      <c r="J1157" s="15" t="s">
        <v>984</v>
      </c>
    </row>
    <row r="1158" spans="1:12" s="14" customFormat="1" ht="12" customHeight="1" x14ac:dyDescent="0.25">
      <c r="A1158" s="9">
        <v>1156</v>
      </c>
      <c r="B1158" s="14" t="s">
        <v>2741</v>
      </c>
      <c r="C1158" s="14" t="s">
        <v>2741</v>
      </c>
      <c r="D1158" s="13" t="s">
        <v>166</v>
      </c>
      <c r="E1158" s="15" t="str">
        <f t="shared" si="26"/>
        <v>OxyElite Pro</v>
      </c>
      <c r="F1158" s="12">
        <f>DATE(2021,9,8)</f>
        <v>44447</v>
      </c>
      <c r="G1158" s="13" t="s">
        <v>174</v>
      </c>
      <c r="H1158" s="13">
        <v>1</v>
      </c>
      <c r="I1158" s="15" t="s">
        <v>2471</v>
      </c>
      <c r="J1158" s="15" t="s">
        <v>1462</v>
      </c>
    </row>
    <row r="1159" spans="1:12" s="14" customFormat="1" ht="12" customHeight="1" x14ac:dyDescent="0.25">
      <c r="A1159" s="9">
        <v>1157</v>
      </c>
      <c r="B1159" s="14" t="s">
        <v>2742</v>
      </c>
      <c r="C1159" s="14" t="s">
        <v>2743</v>
      </c>
      <c r="D1159" s="13" t="s">
        <v>166</v>
      </c>
      <c r="E1159" s="15" t="s">
        <v>1085</v>
      </c>
      <c r="F1159" s="20">
        <f>DATE(2020,6,24)</f>
        <v>44006</v>
      </c>
      <c r="G1159" s="13">
        <v>1972</v>
      </c>
      <c r="H1159" s="13">
        <v>1</v>
      </c>
      <c r="I1159" s="15" t="s">
        <v>45</v>
      </c>
      <c r="J1159" s="15" t="s">
        <v>291</v>
      </c>
    </row>
    <row r="1160" spans="1:12" s="14" customFormat="1" ht="12" customHeight="1" x14ac:dyDescent="0.25">
      <c r="A1160" s="9">
        <v>1158</v>
      </c>
      <c r="B1160" s="14" t="s">
        <v>2744</v>
      </c>
      <c r="C1160" s="14" t="s">
        <v>2745</v>
      </c>
      <c r="D1160" s="13" t="s">
        <v>31</v>
      </c>
      <c r="E1160" s="15" t="s">
        <v>1865</v>
      </c>
      <c r="F1160" s="20">
        <f>DATE(2020,11,24)</f>
        <v>44159</v>
      </c>
      <c r="G1160" s="13">
        <v>1959</v>
      </c>
      <c r="H1160" s="13">
        <v>1</v>
      </c>
      <c r="I1160" s="15" t="s">
        <v>54</v>
      </c>
      <c r="J1160" s="15" t="s">
        <v>984</v>
      </c>
    </row>
    <row r="1161" spans="1:12" s="14" customFormat="1" ht="12" customHeight="1" x14ac:dyDescent="0.25">
      <c r="A1161" s="9">
        <v>1159</v>
      </c>
      <c r="B1161" s="14" t="s">
        <v>2746</v>
      </c>
      <c r="C1161" s="14" t="s">
        <v>2747</v>
      </c>
      <c r="D1161" s="13" t="s">
        <v>23</v>
      </c>
      <c r="E1161" s="15" t="s">
        <v>2748</v>
      </c>
      <c r="F1161" s="20">
        <f>DATE(2017,6,10)</f>
        <v>42896</v>
      </c>
      <c r="G1161" s="13" t="s">
        <v>63</v>
      </c>
      <c r="H1161" s="13">
        <v>1</v>
      </c>
      <c r="I1161" s="15" t="s">
        <v>15</v>
      </c>
      <c r="J1161" s="15" t="s">
        <v>225</v>
      </c>
    </row>
    <row r="1162" spans="1:12" s="14" customFormat="1" ht="12" customHeight="1" x14ac:dyDescent="0.25">
      <c r="A1162" s="9">
        <v>1160</v>
      </c>
      <c r="B1162" s="14" t="s">
        <v>2749</v>
      </c>
      <c r="C1162" s="14" t="s">
        <v>2750</v>
      </c>
      <c r="D1162" s="13" t="s">
        <v>23</v>
      </c>
      <c r="E1162" s="15" t="str">
        <f>B1162</f>
        <v>Ozanimod</v>
      </c>
      <c r="F1162" s="31">
        <v>45986</v>
      </c>
      <c r="G1162" s="13">
        <v>2020</v>
      </c>
      <c r="H1162" s="13">
        <v>1</v>
      </c>
      <c r="I1162" s="15" t="s">
        <v>100</v>
      </c>
      <c r="J1162" s="15" t="s">
        <v>1076</v>
      </c>
    </row>
    <row r="1163" spans="1:12" s="14" customFormat="1" ht="12" customHeight="1" x14ac:dyDescent="0.25">
      <c r="A1163" s="9">
        <v>1161</v>
      </c>
      <c r="B1163" s="14" t="s">
        <v>2751</v>
      </c>
      <c r="C1163" s="14" t="s">
        <v>2752</v>
      </c>
      <c r="D1163" s="13" t="s">
        <v>36</v>
      </c>
      <c r="E1163" s="15" t="str">
        <f>B1163</f>
        <v>Paclitaxel</v>
      </c>
      <c r="F1163" s="20">
        <f>DATE(2020,9,7)</f>
        <v>44081</v>
      </c>
      <c r="G1163" s="13">
        <v>1992</v>
      </c>
      <c r="H1163" s="13">
        <v>1</v>
      </c>
      <c r="I1163" s="15" t="s">
        <v>24</v>
      </c>
      <c r="J1163" s="15" t="s">
        <v>284</v>
      </c>
    </row>
    <row r="1164" spans="1:12" s="14" customFormat="1" ht="12" customHeight="1" x14ac:dyDescent="0.25">
      <c r="A1164" s="9">
        <v>1162</v>
      </c>
      <c r="B1164" s="14" t="s">
        <v>2753</v>
      </c>
      <c r="C1164" s="14" t="s">
        <v>2754</v>
      </c>
      <c r="D1164" s="13" t="s">
        <v>23</v>
      </c>
      <c r="E1164" s="14" t="s">
        <v>2753</v>
      </c>
      <c r="F1164" s="20">
        <f>DATE(2023,12,28)</f>
        <v>45288</v>
      </c>
      <c r="G1164" s="13">
        <v>2022</v>
      </c>
      <c r="H1164" s="13">
        <v>1</v>
      </c>
      <c r="I1164" s="15" t="s">
        <v>230</v>
      </c>
      <c r="J1164" s="15" t="s">
        <v>2755</v>
      </c>
      <c r="K1164" s="13"/>
      <c r="L1164" s="13"/>
    </row>
    <row r="1165" spans="1:12" s="14" customFormat="1" ht="12" customHeight="1" x14ac:dyDescent="0.25">
      <c r="A1165" s="9">
        <v>1163</v>
      </c>
      <c r="B1165" s="14" t="s">
        <v>2756</v>
      </c>
      <c r="C1165" s="14" t="s">
        <v>2757</v>
      </c>
      <c r="D1165" s="13" t="s">
        <v>14</v>
      </c>
      <c r="E1165" s="15" t="str">
        <f>B1165</f>
        <v>Palbociclib</v>
      </c>
      <c r="F1165" s="20">
        <f>DATE(2020,6,8)</f>
        <v>43990</v>
      </c>
      <c r="G1165" s="13">
        <v>2015</v>
      </c>
      <c r="H1165" s="13">
        <v>1</v>
      </c>
      <c r="I1165" s="15" t="s">
        <v>24</v>
      </c>
      <c r="J1165" s="15" t="s">
        <v>284</v>
      </c>
    </row>
    <row r="1166" spans="1:12" s="14" customFormat="1" ht="12" customHeight="1" x14ac:dyDescent="0.25">
      <c r="A1166" s="9">
        <v>1164</v>
      </c>
      <c r="B1166" s="14" t="s">
        <v>2758</v>
      </c>
      <c r="C1166" s="14" t="s">
        <v>2759</v>
      </c>
      <c r="D1166" s="13" t="s">
        <v>77</v>
      </c>
      <c r="E1166" s="15"/>
      <c r="F1166" s="12"/>
      <c r="G1166" s="13">
        <v>2004</v>
      </c>
      <c r="H1166" s="13">
        <v>0</v>
      </c>
      <c r="I1166" s="15" t="s">
        <v>66</v>
      </c>
      <c r="J1166" s="15" t="s">
        <v>2760</v>
      </c>
    </row>
    <row r="1167" spans="1:12" s="14" customFormat="1" ht="12" customHeight="1" x14ac:dyDescent="0.25">
      <c r="A1167" s="9">
        <v>1165</v>
      </c>
      <c r="B1167" s="14" t="s">
        <v>2761</v>
      </c>
      <c r="C1167" s="14" t="s">
        <v>2762</v>
      </c>
      <c r="D1167" s="13" t="s">
        <v>31</v>
      </c>
      <c r="E1167" s="15" t="str">
        <f>B1167</f>
        <v>Paliperidone</v>
      </c>
      <c r="F1167" s="20">
        <f>DATE(2023,6,5)</f>
        <v>45082</v>
      </c>
      <c r="G1167" s="13">
        <v>2006</v>
      </c>
      <c r="H1167" s="13">
        <v>1</v>
      </c>
      <c r="I1167" s="15" t="s">
        <v>100</v>
      </c>
      <c r="J1167" s="15" t="s">
        <v>328</v>
      </c>
    </row>
    <row r="1168" spans="1:12" s="14" customFormat="1" ht="12" customHeight="1" x14ac:dyDescent="0.25">
      <c r="A1168" s="9">
        <v>1166</v>
      </c>
      <c r="B1168" s="14" t="s">
        <v>2763</v>
      </c>
      <c r="C1168" s="14" t="s">
        <v>2764</v>
      </c>
      <c r="D1168" s="13" t="s">
        <v>31</v>
      </c>
      <c r="E1168" s="15" t="s">
        <v>2765</v>
      </c>
      <c r="F1168" s="20">
        <f>DATE(2018,1,14)</f>
        <v>43114</v>
      </c>
      <c r="G1168" s="13">
        <v>2003</v>
      </c>
      <c r="H1168" s="13">
        <v>1</v>
      </c>
      <c r="I1168" s="15" t="s">
        <v>182</v>
      </c>
      <c r="J1168" s="15" t="s">
        <v>318</v>
      </c>
    </row>
    <row r="1169" spans="1:35" s="14" customFormat="1" ht="12" customHeight="1" x14ac:dyDescent="0.25">
      <c r="A1169" s="9">
        <v>1167</v>
      </c>
      <c r="B1169" s="14" t="s">
        <v>2766</v>
      </c>
      <c r="C1169" s="14" t="s">
        <v>2767</v>
      </c>
      <c r="D1169" s="13" t="s">
        <v>77</v>
      </c>
      <c r="E1169" s="14" t="s">
        <v>2766</v>
      </c>
      <c r="F1169" s="20"/>
      <c r="G1169" s="13">
        <v>2024</v>
      </c>
      <c r="H1169" s="13">
        <v>0</v>
      </c>
      <c r="I1169" s="14" t="s">
        <v>1022</v>
      </c>
      <c r="J1169" s="14" t="s">
        <v>2768</v>
      </c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</row>
    <row r="1170" spans="1:35" s="14" customFormat="1" ht="12" customHeight="1" x14ac:dyDescent="0.25">
      <c r="A1170" s="9">
        <v>1168</v>
      </c>
      <c r="B1170" s="14" t="s">
        <v>2769</v>
      </c>
      <c r="C1170" s="14" t="s">
        <v>2770</v>
      </c>
      <c r="D1170" s="13" t="s">
        <v>77</v>
      </c>
      <c r="E1170" s="14" t="s">
        <v>2769</v>
      </c>
      <c r="F1170" s="20"/>
      <c r="G1170" s="13">
        <v>2023</v>
      </c>
      <c r="H1170" s="13">
        <v>0</v>
      </c>
      <c r="I1170" s="15" t="s">
        <v>104</v>
      </c>
      <c r="J1170" s="15" t="s">
        <v>2771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</row>
    <row r="1171" spans="1:35" s="14" customFormat="1" ht="12" customHeight="1" x14ac:dyDescent="0.25">
      <c r="A1171" s="9">
        <v>1169</v>
      </c>
      <c r="B1171" s="14" t="s">
        <v>2772</v>
      </c>
      <c r="C1171" s="14" t="s">
        <v>2773</v>
      </c>
      <c r="D1171" s="13" t="s">
        <v>31</v>
      </c>
      <c r="E1171" s="15"/>
      <c r="F1171" s="20"/>
      <c r="G1171" s="13" t="s">
        <v>174</v>
      </c>
      <c r="H1171" s="13">
        <v>0</v>
      </c>
      <c r="I1171" s="15" t="s">
        <v>49</v>
      </c>
      <c r="J1171" s="15" t="s">
        <v>2774</v>
      </c>
    </row>
    <row r="1172" spans="1:35" s="14" customFormat="1" ht="12" customHeight="1" x14ac:dyDescent="0.25">
      <c r="A1172" s="9">
        <v>1170</v>
      </c>
      <c r="B1172" s="14" t="s">
        <v>2775</v>
      </c>
      <c r="C1172" s="14" t="s">
        <v>2776</v>
      </c>
      <c r="D1172" s="13" t="s">
        <v>23</v>
      </c>
      <c r="E1172" s="15" t="s">
        <v>143</v>
      </c>
      <c r="F1172" s="20">
        <f>DATE(2018,6,15)</f>
        <v>43266</v>
      </c>
      <c r="G1172" s="13">
        <v>1991</v>
      </c>
      <c r="H1172" s="13">
        <v>1</v>
      </c>
      <c r="I1172" s="15" t="s">
        <v>45</v>
      </c>
      <c r="J1172" s="15" t="s">
        <v>2777</v>
      </c>
    </row>
    <row r="1173" spans="1:35" s="14" customFormat="1" ht="12" customHeight="1" x14ac:dyDescent="0.25">
      <c r="A1173" s="9">
        <v>1171</v>
      </c>
      <c r="B1173" s="14" t="s">
        <v>2778</v>
      </c>
      <c r="C1173" s="14" t="s">
        <v>2779</v>
      </c>
      <c r="D1173" s="13" t="s">
        <v>31</v>
      </c>
      <c r="E1173" s="15" t="str">
        <f>B1173</f>
        <v>Panitumumab</v>
      </c>
      <c r="F1173" s="20">
        <f>DATE(2020,5,10)</f>
        <v>43961</v>
      </c>
      <c r="G1173" s="13">
        <v>2006</v>
      </c>
      <c r="H1173" s="13">
        <v>1</v>
      </c>
      <c r="I1173" s="15" t="s">
        <v>24</v>
      </c>
      <c r="J1173" s="15" t="s">
        <v>207</v>
      </c>
    </row>
    <row r="1174" spans="1:35" s="14" customFormat="1" ht="12" customHeight="1" x14ac:dyDescent="0.25">
      <c r="A1174" s="9">
        <v>1172</v>
      </c>
      <c r="B1174" s="14" t="s">
        <v>2780</v>
      </c>
      <c r="C1174" s="14" t="s">
        <v>2781</v>
      </c>
      <c r="D1174" s="13" t="s">
        <v>31</v>
      </c>
      <c r="E1174" s="15" t="str">
        <f>B1174</f>
        <v>Panobinostat</v>
      </c>
      <c r="F1174" s="12">
        <f>DATE(2020,9,25)</f>
        <v>44099</v>
      </c>
      <c r="G1174" s="13">
        <v>2015</v>
      </c>
      <c r="H1174" s="13">
        <v>1</v>
      </c>
      <c r="I1174" s="15" t="s">
        <v>24</v>
      </c>
      <c r="J1174" s="15" t="s">
        <v>601</v>
      </c>
    </row>
    <row r="1175" spans="1:35" s="14" customFormat="1" ht="12" customHeight="1" x14ac:dyDescent="0.25">
      <c r="A1175" s="9">
        <v>1173</v>
      </c>
      <c r="B1175" s="14" t="s">
        <v>2782</v>
      </c>
      <c r="C1175" s="14" t="s">
        <v>2783</v>
      </c>
      <c r="D1175" s="13" t="s">
        <v>14</v>
      </c>
      <c r="E1175" s="15" t="str">
        <f>B1175</f>
        <v>Pantoprazole</v>
      </c>
      <c r="F1175" s="12">
        <f>DATE(2019,4,15)</f>
        <v>43570</v>
      </c>
      <c r="G1175" s="13">
        <v>2000</v>
      </c>
      <c r="H1175" s="9">
        <v>1</v>
      </c>
      <c r="I1175" s="15" t="s">
        <v>182</v>
      </c>
      <c r="J1175" s="15" t="s">
        <v>918</v>
      </c>
    </row>
    <row r="1176" spans="1:35" s="14" customFormat="1" ht="12" customHeight="1" x14ac:dyDescent="0.25">
      <c r="A1176" s="9">
        <v>1174</v>
      </c>
      <c r="B1176" s="14" t="s">
        <v>2784</v>
      </c>
      <c r="C1176" s="14" t="s">
        <v>2785</v>
      </c>
      <c r="D1176" s="13" t="s">
        <v>31</v>
      </c>
      <c r="E1176" s="15" t="s">
        <v>573</v>
      </c>
      <c r="F1176" s="12">
        <f>DATE(2021,5,23)</f>
        <v>44339</v>
      </c>
      <c r="G1176" s="13" t="s">
        <v>174</v>
      </c>
      <c r="H1176" s="13">
        <v>1</v>
      </c>
      <c r="I1176" s="15" t="s">
        <v>190</v>
      </c>
      <c r="J1176" s="15" t="s">
        <v>198</v>
      </c>
    </row>
    <row r="1177" spans="1:35" s="14" customFormat="1" ht="12" customHeight="1" x14ac:dyDescent="0.25">
      <c r="A1177" s="9">
        <v>1175</v>
      </c>
      <c r="B1177" s="14" t="s">
        <v>2786</v>
      </c>
      <c r="C1177" s="14" t="s">
        <v>2787</v>
      </c>
      <c r="D1177" s="13" t="s">
        <v>77</v>
      </c>
      <c r="E1177" s="15"/>
      <c r="F1177" s="12"/>
      <c r="G1177" s="13" t="s">
        <v>63</v>
      </c>
      <c r="H1177" s="13">
        <v>0</v>
      </c>
      <c r="I1177" s="15" t="s">
        <v>49</v>
      </c>
      <c r="J1177" s="15" t="s">
        <v>1990</v>
      </c>
    </row>
    <row r="1178" spans="1:35" s="14" customFormat="1" ht="12" customHeight="1" x14ac:dyDescent="0.25">
      <c r="A1178" s="9">
        <v>1176</v>
      </c>
      <c r="B1178" s="14" t="s">
        <v>2788</v>
      </c>
      <c r="C1178" s="14" t="s">
        <v>1114</v>
      </c>
      <c r="D1178" s="13" t="s">
        <v>44</v>
      </c>
      <c r="E1178" s="15" t="s">
        <v>1114</v>
      </c>
      <c r="F1178" s="20">
        <f>DATE(2022,1,10)</f>
        <v>44571</v>
      </c>
      <c r="G1178" s="13">
        <v>2014</v>
      </c>
      <c r="H1178" s="13">
        <v>1</v>
      </c>
      <c r="I1178" s="15" t="s">
        <v>15</v>
      </c>
      <c r="J1178" s="15" t="s">
        <v>366</v>
      </c>
    </row>
    <row r="1179" spans="1:35" s="14" customFormat="1" ht="12" customHeight="1" x14ac:dyDescent="0.25">
      <c r="A1179" s="9">
        <v>1177</v>
      </c>
      <c r="B1179" s="14" t="s">
        <v>2789</v>
      </c>
      <c r="C1179" s="14" t="s">
        <v>2790</v>
      </c>
      <c r="D1179" s="13" t="s">
        <v>44</v>
      </c>
      <c r="E1179" s="15" t="str">
        <f>B1179</f>
        <v>Paroxetine</v>
      </c>
      <c r="F1179" s="20">
        <f>DATE(2020,4,8)</f>
        <v>43929</v>
      </c>
      <c r="G1179" s="13">
        <v>1992</v>
      </c>
      <c r="H1179" s="13">
        <v>1</v>
      </c>
      <c r="I1179" s="15" t="s">
        <v>100</v>
      </c>
      <c r="J1179" s="15" t="s">
        <v>250</v>
      </c>
    </row>
    <row r="1180" spans="1:35" s="14" customFormat="1" ht="12" customHeight="1" x14ac:dyDescent="0.25">
      <c r="A1180" s="9">
        <v>1178</v>
      </c>
      <c r="B1180" s="14" t="s">
        <v>2791</v>
      </c>
      <c r="C1180" s="14" t="s">
        <v>2792</v>
      </c>
      <c r="D1180" s="13" t="s">
        <v>23</v>
      </c>
      <c r="E1180" s="15" t="str">
        <f>B1180</f>
        <v>Pasireotide</v>
      </c>
      <c r="F1180" s="12">
        <f>DATE(2017,4,20)</f>
        <v>42845</v>
      </c>
      <c r="G1180" s="13">
        <v>2012</v>
      </c>
      <c r="H1180" s="13">
        <v>1</v>
      </c>
      <c r="I1180" s="15" t="s">
        <v>45</v>
      </c>
      <c r="J1180" s="15" t="s">
        <v>234</v>
      </c>
    </row>
    <row r="1181" spans="1:35" s="14" customFormat="1" ht="12" customHeight="1" x14ac:dyDescent="0.25">
      <c r="A1181" s="9">
        <v>1179</v>
      </c>
      <c r="B1181" s="14" t="s">
        <v>2793</v>
      </c>
      <c r="C1181" s="14" t="s">
        <v>188</v>
      </c>
      <c r="D1181" s="13" t="s">
        <v>31</v>
      </c>
      <c r="E1181" s="15" t="str">
        <f>B1181</f>
        <v>Passionflower</v>
      </c>
      <c r="F1181" s="12">
        <f>DATE(2020,4,8)</f>
        <v>43929</v>
      </c>
      <c r="G1181" s="13" t="s">
        <v>174</v>
      </c>
      <c r="H1181" s="13">
        <v>1</v>
      </c>
      <c r="I1181" s="15" t="s">
        <v>175</v>
      </c>
      <c r="J1181" s="15" t="s">
        <v>2019</v>
      </c>
    </row>
    <row r="1182" spans="1:35" s="14" customFormat="1" ht="12" customHeight="1" x14ac:dyDescent="0.25">
      <c r="A1182" s="9">
        <v>1180</v>
      </c>
      <c r="B1182" s="14" t="s">
        <v>2794</v>
      </c>
      <c r="C1182" s="14" t="s">
        <v>2795</v>
      </c>
      <c r="D1182" s="13" t="s">
        <v>31</v>
      </c>
      <c r="E1182" s="15" t="s">
        <v>2794</v>
      </c>
      <c r="F1182" s="20">
        <f>DATE(2025,2,25)</f>
        <v>45713</v>
      </c>
      <c r="G1182" s="13">
        <v>2018</v>
      </c>
      <c r="H1182" s="13">
        <v>1</v>
      </c>
      <c r="I1182" s="15" t="s">
        <v>2796</v>
      </c>
      <c r="J1182" s="15" t="s">
        <v>1469</v>
      </c>
    </row>
    <row r="1183" spans="1:35" s="14" customFormat="1" ht="12" customHeight="1" x14ac:dyDescent="0.25">
      <c r="A1183" s="9">
        <v>1181</v>
      </c>
      <c r="B1183" s="14" t="s">
        <v>2797</v>
      </c>
      <c r="C1183" s="14" t="s">
        <v>2798</v>
      </c>
      <c r="D1183" s="13" t="s">
        <v>14</v>
      </c>
      <c r="E1183" s="15" t="str">
        <f>B1183</f>
        <v>Pazopanib</v>
      </c>
      <c r="F1183" s="12">
        <f>DATE(2020,6,8)</f>
        <v>43990</v>
      </c>
      <c r="G1183" s="13">
        <v>2012</v>
      </c>
      <c r="H1183" s="13">
        <v>1</v>
      </c>
      <c r="I1183" s="15" t="s">
        <v>24</v>
      </c>
      <c r="J1183" s="15" t="s">
        <v>207</v>
      </c>
    </row>
    <row r="1184" spans="1:35" s="14" customFormat="1" ht="12" customHeight="1" x14ac:dyDescent="0.25">
      <c r="A1184" s="9">
        <v>1182</v>
      </c>
      <c r="B1184" s="15" t="s">
        <v>2799</v>
      </c>
      <c r="C1184" s="15" t="s">
        <v>2800</v>
      </c>
      <c r="D1184" s="13" t="s">
        <v>31</v>
      </c>
      <c r="E1184" s="15" t="s">
        <v>118</v>
      </c>
      <c r="F1184" s="12">
        <f>DATE(2016,3,12)</f>
        <v>42441</v>
      </c>
      <c r="G1184" s="13">
        <v>2000</v>
      </c>
      <c r="H1184" s="13">
        <v>1</v>
      </c>
      <c r="I1184" s="15" t="s">
        <v>104</v>
      </c>
      <c r="J1184" s="15" t="s">
        <v>2801</v>
      </c>
    </row>
    <row r="1185" spans="1:35" s="14" customFormat="1" ht="12" customHeight="1" x14ac:dyDescent="0.25">
      <c r="A1185" s="9">
        <v>1183</v>
      </c>
      <c r="B1185" s="14" t="s">
        <v>2802</v>
      </c>
      <c r="C1185" s="28" t="s">
        <v>2803</v>
      </c>
      <c r="D1185" s="16" t="s">
        <v>31</v>
      </c>
      <c r="E1185" s="15" t="s">
        <v>114</v>
      </c>
      <c r="F1185" s="20">
        <f>DATE(2024,7,31)</f>
        <v>45504</v>
      </c>
      <c r="G1185" s="13">
        <v>2004</v>
      </c>
      <c r="H1185" s="13">
        <v>1</v>
      </c>
      <c r="I1185" s="15" t="s">
        <v>78</v>
      </c>
      <c r="J1185" s="15" t="s">
        <v>115</v>
      </c>
    </row>
    <row r="1186" spans="1:35" s="14" customFormat="1" ht="12" customHeight="1" x14ac:dyDescent="0.25">
      <c r="A1186" s="9">
        <v>1184</v>
      </c>
      <c r="B1186" s="14" t="s">
        <v>2804</v>
      </c>
      <c r="C1186" s="14" t="s">
        <v>2805</v>
      </c>
      <c r="D1186" s="13" t="s">
        <v>166</v>
      </c>
      <c r="E1186" s="15" t="s">
        <v>355</v>
      </c>
      <c r="F1186" s="12">
        <f>DATE(2023,7,20)</f>
        <v>45127</v>
      </c>
      <c r="G1186" s="13">
        <v>1994</v>
      </c>
      <c r="H1186" s="13">
        <v>1</v>
      </c>
      <c r="I1186" s="15" t="s">
        <v>24</v>
      </c>
      <c r="J1186" s="15" t="s">
        <v>596</v>
      </c>
    </row>
    <row r="1187" spans="1:35" s="14" customFormat="1" ht="12" customHeight="1" x14ac:dyDescent="0.25">
      <c r="A1187" s="9">
        <v>1185</v>
      </c>
      <c r="B1187" s="14" t="s">
        <v>2806</v>
      </c>
      <c r="C1187" s="14" t="s">
        <v>2807</v>
      </c>
      <c r="D1187" s="13" t="s">
        <v>31</v>
      </c>
      <c r="E1187" s="15" t="s">
        <v>2806</v>
      </c>
      <c r="F1187" s="20">
        <f>DATE(2024,7,5)</f>
        <v>45478</v>
      </c>
      <c r="G1187" s="16">
        <v>2021</v>
      </c>
      <c r="H1187" s="13">
        <v>1</v>
      </c>
      <c r="I1187" s="15" t="s">
        <v>104</v>
      </c>
      <c r="J1187" s="15" t="s">
        <v>2808</v>
      </c>
    </row>
    <row r="1188" spans="1:35" s="14" customFormat="1" ht="12" customHeight="1" x14ac:dyDescent="0.25">
      <c r="A1188" s="9">
        <v>1186</v>
      </c>
      <c r="B1188" s="14" t="s">
        <v>2809</v>
      </c>
      <c r="C1188" s="14" t="s">
        <v>2810</v>
      </c>
      <c r="D1188" s="13" t="s">
        <v>31</v>
      </c>
      <c r="E1188" s="15" t="s">
        <v>1375</v>
      </c>
      <c r="F1188" s="20">
        <f>DATE(2017,10,30)</f>
        <v>43038</v>
      </c>
      <c r="G1188" s="13">
        <v>2002</v>
      </c>
      <c r="H1188" s="13">
        <v>1</v>
      </c>
      <c r="I1188" s="15" t="s">
        <v>230</v>
      </c>
      <c r="J1188" s="15" t="s">
        <v>1624</v>
      </c>
    </row>
    <row r="1189" spans="1:35" s="14" customFormat="1" ht="12" customHeight="1" x14ac:dyDescent="0.25">
      <c r="A1189" s="9">
        <v>1187</v>
      </c>
      <c r="B1189" s="14" t="s">
        <v>2811</v>
      </c>
      <c r="C1189" s="14" t="s">
        <v>2812</v>
      </c>
      <c r="D1189" s="13" t="s">
        <v>23</v>
      </c>
      <c r="E1189" s="15" t="s">
        <v>1101</v>
      </c>
      <c r="F1189" s="20">
        <f>DATE(2017,12,5)</f>
        <v>43074</v>
      </c>
      <c r="G1189" s="13">
        <v>2012</v>
      </c>
      <c r="H1189" s="13">
        <v>1</v>
      </c>
      <c r="I1189" s="15" t="s">
        <v>230</v>
      </c>
      <c r="J1189" s="15" t="s">
        <v>1102</v>
      </c>
    </row>
    <row r="1190" spans="1:35" s="14" customFormat="1" ht="12" customHeight="1" x14ac:dyDescent="0.25">
      <c r="A1190" s="9">
        <v>1188</v>
      </c>
      <c r="B1190" s="14" t="s">
        <v>2813</v>
      </c>
      <c r="C1190" s="14" t="s">
        <v>2814</v>
      </c>
      <c r="D1190" s="13" t="s">
        <v>23</v>
      </c>
      <c r="E1190" s="15" t="s">
        <v>2815</v>
      </c>
      <c r="F1190" s="20">
        <f>DATE(2018,5,3)</f>
        <v>43223</v>
      </c>
      <c r="G1190" s="13">
        <v>2002</v>
      </c>
      <c r="H1190" s="13">
        <v>1</v>
      </c>
      <c r="I1190" s="15" t="s">
        <v>15</v>
      </c>
      <c r="J1190" s="15" t="s">
        <v>1953</v>
      </c>
    </row>
    <row r="1191" spans="1:35" s="14" customFormat="1" ht="12" customHeight="1" x14ac:dyDescent="0.25">
      <c r="A1191" s="9">
        <v>1189</v>
      </c>
      <c r="B1191" s="14" t="s">
        <v>2816</v>
      </c>
      <c r="C1191" s="14" t="s">
        <v>2817</v>
      </c>
      <c r="D1191" s="13" t="s">
        <v>31</v>
      </c>
      <c r="E1191" s="15" t="str">
        <f>B1191</f>
        <v>Pegloticase</v>
      </c>
      <c r="F1191" s="12">
        <f>DATE(2016,6,24)</f>
        <v>42545</v>
      </c>
      <c r="G1191" s="13">
        <v>2010</v>
      </c>
      <c r="H1191" s="13">
        <v>1</v>
      </c>
      <c r="I1191" s="15" t="s">
        <v>19</v>
      </c>
      <c r="J1191" s="15" t="s">
        <v>167</v>
      </c>
    </row>
    <row r="1192" spans="1:35" s="14" customFormat="1" ht="12" customHeight="1" x14ac:dyDescent="0.25">
      <c r="A1192" s="9">
        <v>1190</v>
      </c>
      <c r="B1192" s="14" t="s">
        <v>2818</v>
      </c>
      <c r="C1192" s="14" t="s">
        <v>2819</v>
      </c>
      <c r="D1192" s="13" t="s">
        <v>77</v>
      </c>
      <c r="E1192" s="14" t="s">
        <v>2818</v>
      </c>
      <c r="F1192" s="20"/>
      <c r="G1192" s="13">
        <v>2023</v>
      </c>
      <c r="H1192" s="13">
        <v>0</v>
      </c>
      <c r="I1192" s="15" t="s">
        <v>104</v>
      </c>
      <c r="J1192" s="15" t="s">
        <v>2394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</row>
    <row r="1193" spans="1:35" s="14" customFormat="1" ht="12" customHeight="1" x14ac:dyDescent="0.25">
      <c r="A1193" s="9">
        <v>1191</v>
      </c>
      <c r="B1193" s="14" t="s">
        <v>2820</v>
      </c>
      <c r="C1193" s="14" t="s">
        <v>2821</v>
      </c>
      <c r="D1193" s="13" t="s">
        <v>166</v>
      </c>
      <c r="E1193" s="15" t="str">
        <f>B1193</f>
        <v>Pembrolizumab</v>
      </c>
      <c r="F1193" s="20">
        <f>DATE(2022,6,23)</f>
        <v>44735</v>
      </c>
      <c r="G1193" s="13">
        <v>2014</v>
      </c>
      <c r="H1193" s="13">
        <v>1</v>
      </c>
      <c r="I1193" s="15" t="s">
        <v>24</v>
      </c>
      <c r="J1193" s="15" t="s">
        <v>570</v>
      </c>
    </row>
    <row r="1194" spans="1:35" s="14" customFormat="1" ht="12" customHeight="1" x14ac:dyDescent="0.25">
      <c r="A1194" s="9">
        <v>1192</v>
      </c>
      <c r="B1194" s="14" t="s">
        <v>2822</v>
      </c>
      <c r="C1194" s="14" t="s">
        <v>2823</v>
      </c>
      <c r="D1194" s="13" t="s">
        <v>23</v>
      </c>
      <c r="E1194" s="15" t="str">
        <f>B1194</f>
        <v>Pemetrexed</v>
      </c>
      <c r="F1194" s="20">
        <f>DATE(2016,5,1)</f>
        <v>42491</v>
      </c>
      <c r="G1194" s="13">
        <v>2004</v>
      </c>
      <c r="H1194" s="13">
        <v>1</v>
      </c>
      <c r="I1194" s="15" t="s">
        <v>24</v>
      </c>
      <c r="J1194" s="15" t="s">
        <v>207</v>
      </c>
    </row>
    <row r="1195" spans="1:35" s="14" customFormat="1" ht="12" customHeight="1" x14ac:dyDescent="0.25">
      <c r="A1195" s="9">
        <v>1193</v>
      </c>
      <c r="B1195" s="14" t="s">
        <v>2824</v>
      </c>
      <c r="C1195" s="14" t="s">
        <v>2825</v>
      </c>
      <c r="D1195" s="13" t="s">
        <v>23</v>
      </c>
      <c r="E1195" s="15" t="s">
        <v>2824</v>
      </c>
      <c r="F1195" s="20">
        <f>DATE(2022,11,30)</f>
        <v>44895</v>
      </c>
      <c r="G1195" s="16">
        <v>2020</v>
      </c>
      <c r="H1195" s="13">
        <v>1</v>
      </c>
      <c r="I1195" s="15" t="s">
        <v>24</v>
      </c>
      <c r="J1195" s="15" t="s">
        <v>2826</v>
      </c>
    </row>
    <row r="1196" spans="1:35" s="14" customFormat="1" ht="12" customHeight="1" x14ac:dyDescent="0.25">
      <c r="A1196" s="9">
        <v>1194</v>
      </c>
      <c r="B1196" s="14" t="s">
        <v>2827</v>
      </c>
      <c r="C1196" s="14" t="s">
        <v>2828</v>
      </c>
      <c r="D1196" s="13" t="s">
        <v>77</v>
      </c>
      <c r="E1196" s="15"/>
      <c r="F1196" s="20"/>
      <c r="G1196" s="13">
        <v>1975</v>
      </c>
      <c r="H1196" s="13">
        <v>0</v>
      </c>
      <c r="I1196" s="15" t="s">
        <v>100</v>
      </c>
      <c r="J1196" s="15" t="s">
        <v>383</v>
      </c>
    </row>
    <row r="1197" spans="1:35" s="14" customFormat="1" ht="12" customHeight="1" x14ac:dyDescent="0.25">
      <c r="A1197" s="9">
        <v>1195</v>
      </c>
      <c r="B1197" s="14" t="s">
        <v>2829</v>
      </c>
      <c r="C1197" s="14" t="s">
        <v>2830</v>
      </c>
      <c r="D1197" s="13" t="s">
        <v>31</v>
      </c>
      <c r="E1197" s="15" t="str">
        <f>B1197</f>
        <v>Penbutolol</v>
      </c>
      <c r="F1197" s="20">
        <f>DATE(2019,5,3)</f>
        <v>43588</v>
      </c>
      <c r="G1197" s="13">
        <v>1987</v>
      </c>
      <c r="H1197" s="13">
        <v>1</v>
      </c>
      <c r="I1197" s="15" t="s">
        <v>49</v>
      </c>
      <c r="J1197" s="15" t="s">
        <v>50</v>
      </c>
    </row>
    <row r="1198" spans="1:35" s="14" customFormat="1" ht="12" customHeight="1" x14ac:dyDescent="0.25">
      <c r="A1198" s="9">
        <v>1196</v>
      </c>
      <c r="B1198" s="14" t="s">
        <v>2831</v>
      </c>
      <c r="C1198" s="14" t="s">
        <v>2832</v>
      </c>
      <c r="D1198" s="13" t="s">
        <v>166</v>
      </c>
      <c r="E1198" s="15" t="str">
        <f>B1198</f>
        <v>Penicillamine</v>
      </c>
      <c r="F1198" s="20">
        <f>DATE(2020,7,25)</f>
        <v>44037</v>
      </c>
      <c r="G1198" s="13">
        <v>1970</v>
      </c>
      <c r="H1198" s="13">
        <v>1</v>
      </c>
      <c r="I1198" s="15" t="s">
        <v>66</v>
      </c>
      <c r="J1198" s="15" t="s">
        <v>2833</v>
      </c>
    </row>
    <row r="1199" spans="1:35" s="14" customFormat="1" ht="12" customHeight="1" x14ac:dyDescent="0.25">
      <c r="A1199" s="9">
        <v>1197</v>
      </c>
      <c r="B1199" s="14" t="s">
        <v>2834</v>
      </c>
      <c r="C1199" s="14" t="s">
        <v>2835</v>
      </c>
      <c r="D1199" s="13" t="s">
        <v>14</v>
      </c>
      <c r="E1199" s="15" t="str">
        <f>B1199</f>
        <v>Penicillin G &amp; V</v>
      </c>
      <c r="F1199" s="20">
        <f>DATE(2020,10,20)</f>
        <v>44124</v>
      </c>
      <c r="G1199" s="13">
        <v>1958</v>
      </c>
      <c r="H1199" s="13">
        <v>1</v>
      </c>
      <c r="I1199" s="15" t="s">
        <v>15</v>
      </c>
      <c r="J1199" s="15" t="s">
        <v>225</v>
      </c>
    </row>
    <row r="1200" spans="1:35" s="14" customFormat="1" ht="12" customHeight="1" x14ac:dyDescent="0.25">
      <c r="A1200" s="9">
        <v>1198</v>
      </c>
      <c r="B1200" s="14" t="s">
        <v>2836</v>
      </c>
      <c r="C1200" s="14" t="s">
        <v>188</v>
      </c>
      <c r="D1200" s="13" t="s">
        <v>44</v>
      </c>
      <c r="E1200" s="15" t="str">
        <f>B1200</f>
        <v>Pennyroyal</v>
      </c>
      <c r="F1200" s="20">
        <f>DATE(2020,4,8)</f>
        <v>43929</v>
      </c>
      <c r="G1200" s="13" t="s">
        <v>174</v>
      </c>
      <c r="H1200" s="13">
        <v>1</v>
      </c>
      <c r="I1200" s="15" t="s">
        <v>175</v>
      </c>
      <c r="J1200" s="15" t="s">
        <v>2391</v>
      </c>
    </row>
    <row r="1201" spans="1:35" s="14" customFormat="1" ht="12" customHeight="1" x14ac:dyDescent="0.3">
      <c r="A1201" s="9">
        <v>1199</v>
      </c>
      <c r="B1201" s="14" t="s">
        <v>2837</v>
      </c>
      <c r="C1201" s="14" t="s">
        <v>2837</v>
      </c>
      <c r="D1201" s="13" t="s">
        <v>77</v>
      </c>
      <c r="E1201" s="14" t="s">
        <v>2837</v>
      </c>
      <c r="F1201" s="13"/>
      <c r="G1201" s="13">
        <v>2025</v>
      </c>
      <c r="H1201" s="16">
        <v>0</v>
      </c>
      <c r="I1201" s="14" t="s">
        <v>24</v>
      </c>
      <c r="J1201" s="14" t="s">
        <v>2838</v>
      </c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</row>
    <row r="1202" spans="1:35" s="14" customFormat="1" ht="12" customHeight="1" x14ac:dyDescent="0.25">
      <c r="A1202" s="9">
        <v>1200</v>
      </c>
      <c r="B1202" s="14" t="s">
        <v>2839</v>
      </c>
      <c r="C1202" s="14" t="s">
        <v>2840</v>
      </c>
      <c r="D1202" s="13" t="s">
        <v>36</v>
      </c>
      <c r="E1202" s="15" t="str">
        <f>B1202</f>
        <v>Pentamidine</v>
      </c>
      <c r="F1202" s="20">
        <f>DATE(2020,7,20)</f>
        <v>44032</v>
      </c>
      <c r="G1202" s="13">
        <v>1984</v>
      </c>
      <c r="H1202" s="13">
        <v>1</v>
      </c>
      <c r="I1202" s="15" t="s">
        <v>15</v>
      </c>
      <c r="J1202" s="15" t="s">
        <v>271</v>
      </c>
    </row>
    <row r="1203" spans="1:35" s="14" customFormat="1" ht="12" customHeight="1" x14ac:dyDescent="0.25">
      <c r="A1203" s="9">
        <v>1201</v>
      </c>
      <c r="B1203" s="14" t="s">
        <v>2841</v>
      </c>
      <c r="C1203" s="14" t="s">
        <v>2842</v>
      </c>
      <c r="D1203" s="13" t="s">
        <v>31</v>
      </c>
      <c r="E1203" s="15" t="str">
        <f>B1203</f>
        <v>Pentazocine</v>
      </c>
      <c r="F1203" s="20">
        <f>DATE(2020,11,24)</f>
        <v>44159</v>
      </c>
      <c r="G1203" s="13">
        <v>1967</v>
      </c>
      <c r="H1203" s="13">
        <v>1</v>
      </c>
      <c r="I1203" s="15" t="s">
        <v>54</v>
      </c>
      <c r="J1203" s="15" t="s">
        <v>984</v>
      </c>
    </row>
    <row r="1204" spans="1:35" s="14" customFormat="1" ht="12" customHeight="1" x14ac:dyDescent="0.25">
      <c r="A1204" s="9">
        <v>1202</v>
      </c>
      <c r="B1204" s="14" t="s">
        <v>2843</v>
      </c>
      <c r="C1204" s="14" t="s">
        <v>2844</v>
      </c>
      <c r="D1204" s="13" t="s">
        <v>31</v>
      </c>
      <c r="E1204" s="15" t="s">
        <v>258</v>
      </c>
      <c r="F1204" s="20">
        <f>DATE(2020,7,30)</f>
        <v>44042</v>
      </c>
      <c r="G1204" s="13">
        <v>1975</v>
      </c>
      <c r="H1204" s="13">
        <v>1</v>
      </c>
      <c r="I1204" s="15" t="s">
        <v>100</v>
      </c>
      <c r="J1204" s="15" t="s">
        <v>204</v>
      </c>
    </row>
    <row r="1205" spans="1:35" s="14" customFormat="1" ht="12" customHeight="1" x14ac:dyDescent="0.25">
      <c r="A1205" s="9">
        <v>1203</v>
      </c>
      <c r="B1205" s="14" t="s">
        <v>2845</v>
      </c>
      <c r="C1205" s="14" t="s">
        <v>2846</v>
      </c>
      <c r="D1205" s="13" t="s">
        <v>77</v>
      </c>
      <c r="E1205" s="15"/>
      <c r="F1205" s="12"/>
      <c r="G1205" s="13">
        <v>1996</v>
      </c>
      <c r="H1205" s="13">
        <v>0</v>
      </c>
      <c r="I1205" s="15" t="s">
        <v>151</v>
      </c>
      <c r="J1205" s="15" t="s">
        <v>1108</v>
      </c>
    </row>
    <row r="1206" spans="1:35" s="14" customFormat="1" ht="12" customHeight="1" x14ac:dyDescent="0.25">
      <c r="A1206" s="9">
        <v>1204</v>
      </c>
      <c r="B1206" s="14" t="s">
        <v>2847</v>
      </c>
      <c r="C1206" s="14" t="s">
        <v>2848</v>
      </c>
      <c r="D1206" s="13" t="s">
        <v>36</v>
      </c>
      <c r="E1206" s="15" t="str">
        <f t="shared" ref="E1206:E1213" si="27">B1206</f>
        <v>Pentostatin</v>
      </c>
      <c r="F1206" s="20">
        <f>DATE(2020,9,12)</f>
        <v>44086</v>
      </c>
      <c r="G1206" s="13">
        <v>1991</v>
      </c>
      <c r="H1206" s="13">
        <v>1</v>
      </c>
      <c r="I1206" s="15" t="s">
        <v>24</v>
      </c>
      <c r="J1206" s="15" t="s">
        <v>504</v>
      </c>
    </row>
    <row r="1207" spans="1:35" s="14" customFormat="1" ht="12" customHeight="1" x14ac:dyDescent="0.25">
      <c r="A1207" s="9">
        <v>1205</v>
      </c>
      <c r="B1207" s="14" t="s">
        <v>2849</v>
      </c>
      <c r="C1207" s="14" t="s">
        <v>2850</v>
      </c>
      <c r="D1207" s="13" t="s">
        <v>36</v>
      </c>
      <c r="E1207" s="15" t="str">
        <f t="shared" si="27"/>
        <v>Pentoxifylline</v>
      </c>
      <c r="F1207" s="20">
        <f>DATE(2020,3,20)</f>
        <v>43910</v>
      </c>
      <c r="G1207" s="13">
        <v>1984</v>
      </c>
      <c r="H1207" s="13">
        <v>1</v>
      </c>
      <c r="I1207" s="15" t="s">
        <v>49</v>
      </c>
      <c r="J1207" s="15" t="s">
        <v>915</v>
      </c>
    </row>
    <row r="1208" spans="1:35" s="14" customFormat="1" ht="12" customHeight="1" x14ac:dyDescent="0.25">
      <c r="A1208" s="9">
        <v>1206</v>
      </c>
      <c r="B1208" s="14" t="s">
        <v>2851</v>
      </c>
      <c r="C1208" s="14" t="s">
        <v>2852</v>
      </c>
      <c r="D1208" s="13" t="s">
        <v>31</v>
      </c>
      <c r="E1208" s="15" t="str">
        <f t="shared" si="27"/>
        <v>Peramivir</v>
      </c>
      <c r="F1208" s="20">
        <f>DATE(2020,6,22)</f>
        <v>44004</v>
      </c>
      <c r="G1208" s="13">
        <v>2014</v>
      </c>
      <c r="H1208" s="13">
        <v>1</v>
      </c>
      <c r="I1208" s="15" t="s">
        <v>15</v>
      </c>
      <c r="J1208" s="15" t="s">
        <v>2710</v>
      </c>
    </row>
    <row r="1209" spans="1:35" s="14" customFormat="1" ht="12" customHeight="1" x14ac:dyDescent="0.25">
      <c r="A1209" s="9">
        <v>1207</v>
      </c>
      <c r="B1209" s="14" t="s">
        <v>2853</v>
      </c>
      <c r="C1209" s="14" t="s">
        <v>2854</v>
      </c>
      <c r="D1209" s="13" t="s">
        <v>31</v>
      </c>
      <c r="E1209" s="15" t="str">
        <f t="shared" si="27"/>
        <v>Perampanel</v>
      </c>
      <c r="F1209" s="20">
        <f>DATE(2016,5,5)</f>
        <v>42495</v>
      </c>
      <c r="G1209" s="13">
        <v>2012</v>
      </c>
      <c r="H1209" s="13">
        <v>1</v>
      </c>
      <c r="I1209" s="15" t="s">
        <v>100</v>
      </c>
      <c r="J1209" s="15" t="s">
        <v>630</v>
      </c>
    </row>
    <row r="1210" spans="1:35" s="14" customFormat="1" ht="12" customHeight="1" x14ac:dyDescent="0.25">
      <c r="A1210" s="9">
        <v>1208</v>
      </c>
      <c r="B1210" s="14" t="s">
        <v>2855</v>
      </c>
      <c r="C1210" s="14" t="s">
        <v>2856</v>
      </c>
      <c r="D1210" s="13" t="s">
        <v>23</v>
      </c>
      <c r="E1210" s="15" t="str">
        <f t="shared" si="27"/>
        <v>Pergolide</v>
      </c>
      <c r="F1210" s="20">
        <f>DATE(2017,7,20)</f>
        <v>42936</v>
      </c>
      <c r="G1210" s="13">
        <v>1988</v>
      </c>
      <c r="H1210" s="13">
        <v>1</v>
      </c>
      <c r="I1210" s="15" t="s">
        <v>100</v>
      </c>
      <c r="J1210" s="15" t="s">
        <v>210</v>
      </c>
    </row>
    <row r="1211" spans="1:35" s="14" customFormat="1" ht="12" customHeight="1" x14ac:dyDescent="0.25">
      <c r="A1211" s="9">
        <v>1209</v>
      </c>
      <c r="B1211" s="14" t="s">
        <v>2857</v>
      </c>
      <c r="C1211" s="14" t="s">
        <v>2858</v>
      </c>
      <c r="D1211" s="13" t="s">
        <v>23</v>
      </c>
      <c r="E1211" s="15" t="str">
        <f t="shared" si="27"/>
        <v>Perindopril</v>
      </c>
      <c r="F1211" s="20">
        <f>DATE(2017,1,15)</f>
        <v>42750</v>
      </c>
      <c r="G1211" s="13">
        <v>1993</v>
      </c>
      <c r="H1211" s="13">
        <v>1</v>
      </c>
      <c r="I1211" s="15" t="s">
        <v>49</v>
      </c>
      <c r="J1211" s="15" t="s">
        <v>50</v>
      </c>
    </row>
    <row r="1212" spans="1:35" s="14" customFormat="1" ht="12" customHeight="1" x14ac:dyDescent="0.25">
      <c r="A1212" s="9">
        <v>1210</v>
      </c>
      <c r="B1212" s="14" t="s">
        <v>2859</v>
      </c>
      <c r="C1212" s="14" t="s">
        <v>2860</v>
      </c>
      <c r="D1212" s="13" t="s">
        <v>36</v>
      </c>
      <c r="E1212" s="15" t="str">
        <f t="shared" si="27"/>
        <v>Perphenazine</v>
      </c>
      <c r="F1212" s="12">
        <f>DATE(2020,7,1)</f>
        <v>44013</v>
      </c>
      <c r="G1212" s="13">
        <v>1957</v>
      </c>
      <c r="H1212" s="13">
        <v>1</v>
      </c>
      <c r="I1212" s="15" t="s">
        <v>100</v>
      </c>
      <c r="J1212" s="15" t="s">
        <v>328</v>
      </c>
    </row>
    <row r="1213" spans="1:35" s="14" customFormat="1" ht="12" customHeight="1" x14ac:dyDescent="0.25">
      <c r="A1213" s="9">
        <v>1211</v>
      </c>
      <c r="B1213" s="14" t="s">
        <v>2861</v>
      </c>
      <c r="C1213" s="14" t="s">
        <v>2862</v>
      </c>
      <c r="D1213" s="13" t="s">
        <v>31</v>
      </c>
      <c r="E1213" s="15" t="str">
        <f t="shared" si="27"/>
        <v>Pertuzumab</v>
      </c>
      <c r="F1213" s="20">
        <f>DATE(2020,4,18)</f>
        <v>43939</v>
      </c>
      <c r="G1213" s="13">
        <v>2012</v>
      </c>
      <c r="H1213" s="13">
        <v>1</v>
      </c>
      <c r="I1213" s="15" t="s">
        <v>24</v>
      </c>
      <c r="J1213" s="15" t="s">
        <v>284</v>
      </c>
    </row>
    <row r="1214" spans="1:35" s="14" customFormat="1" ht="12" customHeight="1" x14ac:dyDescent="0.3">
      <c r="A1214" s="9">
        <v>1212</v>
      </c>
      <c r="B1214" s="14" t="s">
        <v>2861</v>
      </c>
      <c r="C1214" s="14" t="s">
        <v>2863</v>
      </c>
      <c r="D1214" s="13" t="s">
        <v>77</v>
      </c>
      <c r="E1214" s="14" t="s">
        <v>2861</v>
      </c>
      <c r="F1214" s="9"/>
      <c r="G1214" s="13">
        <v>2025</v>
      </c>
      <c r="H1214" s="16">
        <v>0</v>
      </c>
      <c r="I1214" s="14" t="s">
        <v>24</v>
      </c>
      <c r="J1214" s="14" t="s">
        <v>284</v>
      </c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</row>
    <row r="1215" spans="1:35" s="14" customFormat="1" ht="12" customHeight="1" x14ac:dyDescent="0.25">
      <c r="A1215" s="9">
        <v>1213</v>
      </c>
      <c r="B1215" s="14" t="s">
        <v>2864</v>
      </c>
      <c r="C1215" s="14" t="s">
        <v>2865</v>
      </c>
      <c r="D1215" s="13" t="s">
        <v>44</v>
      </c>
      <c r="E1215" s="15" t="str">
        <f>B1215</f>
        <v>Pexidartinib</v>
      </c>
      <c r="F1215" s="20">
        <f>DATE(2019,10,1)</f>
        <v>43739</v>
      </c>
      <c r="G1215" s="13">
        <v>2019</v>
      </c>
      <c r="H1215" s="13">
        <v>1</v>
      </c>
      <c r="I1215" s="15" t="s">
        <v>24</v>
      </c>
      <c r="J1215" s="15" t="s">
        <v>2866</v>
      </c>
    </row>
    <row r="1216" spans="1:35" s="14" customFormat="1" ht="12" customHeight="1" x14ac:dyDescent="0.25">
      <c r="A1216" s="9">
        <v>1214</v>
      </c>
      <c r="B1216" s="14" t="s">
        <v>2867</v>
      </c>
      <c r="C1216" s="14" t="s">
        <v>2868</v>
      </c>
      <c r="D1216" s="13" t="s">
        <v>77</v>
      </c>
      <c r="E1216" s="15"/>
      <c r="F1216" s="20"/>
      <c r="G1216" s="13">
        <v>2001</v>
      </c>
      <c r="H1216" s="13">
        <v>0</v>
      </c>
      <c r="I1216" s="15" t="s">
        <v>151</v>
      </c>
      <c r="J1216" s="15" t="s">
        <v>1108</v>
      </c>
    </row>
    <row r="1217" spans="1:12" s="14" customFormat="1" ht="12" customHeight="1" x14ac:dyDescent="0.25">
      <c r="A1217" s="9">
        <v>1215</v>
      </c>
      <c r="B1217" s="14" t="s">
        <v>2869</v>
      </c>
      <c r="C1217" s="14" t="s">
        <v>2870</v>
      </c>
      <c r="D1217" s="13" t="s">
        <v>131</v>
      </c>
      <c r="E1217" s="15" t="str">
        <f>B1217</f>
        <v>Phencyclidine</v>
      </c>
      <c r="F1217" s="12">
        <f>DATE(2016,4,13)</f>
        <v>42473</v>
      </c>
      <c r="G1217" s="13">
        <v>1955</v>
      </c>
      <c r="H1217" s="13">
        <v>1</v>
      </c>
      <c r="I1217" s="15" t="s">
        <v>100</v>
      </c>
      <c r="J1217" s="15" t="s">
        <v>1162</v>
      </c>
    </row>
    <row r="1218" spans="1:12" s="14" customFormat="1" ht="12" customHeight="1" x14ac:dyDescent="0.25">
      <c r="A1218" s="9">
        <v>1216</v>
      </c>
      <c r="B1218" s="14" t="s">
        <v>2871</v>
      </c>
      <c r="C1218" s="14" t="s">
        <v>2872</v>
      </c>
      <c r="D1218" s="13" t="s">
        <v>77</v>
      </c>
      <c r="E1218" s="15"/>
      <c r="F1218" s="20"/>
      <c r="G1218" s="13">
        <v>1978</v>
      </c>
      <c r="H1218" s="13">
        <v>0</v>
      </c>
      <c r="I1218" s="15" t="s">
        <v>520</v>
      </c>
      <c r="J1218" s="15" t="s">
        <v>521</v>
      </c>
    </row>
    <row r="1219" spans="1:12" s="14" customFormat="1" ht="12" customHeight="1" x14ac:dyDescent="0.25">
      <c r="A1219" s="9">
        <v>1217</v>
      </c>
      <c r="B1219" s="14" t="s">
        <v>2873</v>
      </c>
      <c r="C1219" s="14" t="s">
        <v>2874</v>
      </c>
      <c r="D1219" s="13" t="s">
        <v>14</v>
      </c>
      <c r="E1219" s="15" t="str">
        <f>B1219</f>
        <v xml:space="preserve">Phenelzine </v>
      </c>
      <c r="F1219" s="20">
        <f>DATE(2020,4,8)</f>
        <v>43929</v>
      </c>
      <c r="G1219" s="13">
        <v>1961</v>
      </c>
      <c r="H1219" s="13">
        <v>1</v>
      </c>
      <c r="I1219" s="15" t="s">
        <v>100</v>
      </c>
      <c r="J1219" s="15" t="s">
        <v>250</v>
      </c>
    </row>
    <row r="1220" spans="1:12" s="14" customFormat="1" ht="12" customHeight="1" x14ac:dyDescent="0.25">
      <c r="A1220" s="9">
        <v>1218</v>
      </c>
      <c r="B1220" s="14" t="s">
        <v>2875</v>
      </c>
      <c r="C1220" s="14" t="s">
        <v>2876</v>
      </c>
      <c r="D1220" s="13" t="s">
        <v>31</v>
      </c>
      <c r="E1220" s="15"/>
      <c r="F1220" s="20"/>
      <c r="G1220" s="13">
        <v>1948</v>
      </c>
      <c r="H1220" s="13">
        <v>0</v>
      </c>
      <c r="I1220" s="15" t="s">
        <v>73</v>
      </c>
      <c r="J1220" s="15" t="s">
        <v>85</v>
      </c>
    </row>
    <row r="1221" spans="1:12" s="14" customFormat="1" ht="12" customHeight="1" x14ac:dyDescent="0.25">
      <c r="A1221" s="9">
        <v>1219</v>
      </c>
      <c r="B1221" s="14" t="s">
        <v>2877</v>
      </c>
      <c r="C1221" s="14" t="s">
        <v>2878</v>
      </c>
      <c r="D1221" s="13" t="s">
        <v>44</v>
      </c>
      <c r="E1221" s="15" t="str">
        <f>B1221</f>
        <v>Phenobarbital</v>
      </c>
      <c r="F1221" s="20">
        <f>DATE(2020,7,30)</f>
        <v>44042</v>
      </c>
      <c r="G1221" s="13">
        <v>1945</v>
      </c>
      <c r="H1221" s="13">
        <v>1</v>
      </c>
      <c r="I1221" s="15" t="s">
        <v>100</v>
      </c>
      <c r="J1221" s="15" t="s">
        <v>630</v>
      </c>
    </row>
    <row r="1222" spans="1:12" s="14" customFormat="1" ht="12" customHeight="1" x14ac:dyDescent="0.25">
      <c r="A1222" s="9">
        <v>1220</v>
      </c>
      <c r="B1222" s="14" t="s">
        <v>2879</v>
      </c>
      <c r="C1222" s="14" t="s">
        <v>2880</v>
      </c>
      <c r="D1222" s="13" t="s">
        <v>31</v>
      </c>
      <c r="E1222" s="15" t="str">
        <f>B1222</f>
        <v>Phenolphthalein</v>
      </c>
      <c r="F1222" s="20"/>
      <c r="G1222" s="13" t="s">
        <v>174</v>
      </c>
      <c r="H1222" s="13">
        <v>0</v>
      </c>
      <c r="I1222" s="15" t="s">
        <v>182</v>
      </c>
      <c r="J1222" s="15" t="s">
        <v>176</v>
      </c>
    </row>
    <row r="1223" spans="1:12" s="14" customFormat="1" ht="12" customHeight="1" x14ac:dyDescent="0.25">
      <c r="A1223" s="9">
        <v>1221</v>
      </c>
      <c r="B1223" s="14" t="s">
        <v>2881</v>
      </c>
      <c r="C1223" s="14" t="s">
        <v>2882</v>
      </c>
      <c r="D1223" s="13" t="s">
        <v>31</v>
      </c>
      <c r="E1223" s="15" t="str">
        <f>B1223</f>
        <v>Phentermine</v>
      </c>
      <c r="F1223" s="20">
        <f>DATE(2020,6,5)</f>
        <v>43987</v>
      </c>
      <c r="G1223" s="13">
        <v>1983</v>
      </c>
      <c r="H1223" s="13">
        <v>1</v>
      </c>
      <c r="I1223" s="15" t="s">
        <v>520</v>
      </c>
      <c r="J1223" s="15" t="s">
        <v>521</v>
      </c>
    </row>
    <row r="1224" spans="1:12" s="14" customFormat="1" ht="12" customHeight="1" x14ac:dyDescent="0.25">
      <c r="A1224" s="9">
        <v>1222</v>
      </c>
      <c r="B1224" s="14" t="s">
        <v>2883</v>
      </c>
      <c r="C1224" s="14" t="s">
        <v>2884</v>
      </c>
      <c r="D1224" s="13" t="s">
        <v>31</v>
      </c>
      <c r="E1224" s="15" t="s">
        <v>2885</v>
      </c>
      <c r="F1224" s="20">
        <f>DATE(2016,10,1)</f>
        <v>42644</v>
      </c>
      <c r="G1224" s="13">
        <v>1996</v>
      </c>
      <c r="H1224" s="13">
        <v>1</v>
      </c>
      <c r="I1224" s="15" t="s">
        <v>104</v>
      </c>
      <c r="J1224" s="15" t="s">
        <v>2886</v>
      </c>
    </row>
    <row r="1225" spans="1:12" s="14" customFormat="1" ht="12" customHeight="1" x14ac:dyDescent="0.25">
      <c r="A1225" s="9">
        <v>1223</v>
      </c>
      <c r="B1225" s="14" t="s">
        <v>2883</v>
      </c>
      <c r="C1225" s="14" t="s">
        <v>2887</v>
      </c>
      <c r="D1225" s="13" t="s">
        <v>31</v>
      </c>
      <c r="E1225" s="14" t="s">
        <v>2888</v>
      </c>
      <c r="F1225" s="20">
        <f>DATE(2016,10,7)</f>
        <v>42650</v>
      </c>
      <c r="G1225" s="13">
        <v>2022</v>
      </c>
      <c r="H1225" s="13">
        <v>1</v>
      </c>
      <c r="I1225" s="15" t="s">
        <v>100</v>
      </c>
      <c r="J1225" s="15" t="s">
        <v>2889</v>
      </c>
      <c r="K1225" s="13"/>
      <c r="L1225" s="13"/>
    </row>
    <row r="1226" spans="1:12" s="14" customFormat="1" ht="12" customHeight="1" x14ac:dyDescent="0.25">
      <c r="A1226" s="9">
        <v>1224</v>
      </c>
      <c r="B1226" s="14" t="s">
        <v>2890</v>
      </c>
      <c r="C1226" s="14" t="s">
        <v>2891</v>
      </c>
      <c r="D1226" s="13" t="s">
        <v>31</v>
      </c>
      <c r="E1226" s="15"/>
      <c r="F1226" s="12"/>
      <c r="G1226" s="13">
        <v>1954</v>
      </c>
      <c r="H1226" s="13">
        <v>0</v>
      </c>
      <c r="I1226" s="15" t="s">
        <v>73</v>
      </c>
      <c r="J1226" s="15" t="s">
        <v>85</v>
      </c>
    </row>
    <row r="1227" spans="1:12" s="14" customFormat="1" ht="12" customHeight="1" x14ac:dyDescent="0.25">
      <c r="A1227" s="9">
        <v>1225</v>
      </c>
      <c r="B1227" s="14" t="s">
        <v>2892</v>
      </c>
      <c r="C1227" s="14" t="s">
        <v>2893</v>
      </c>
      <c r="D1227" s="13" t="s">
        <v>31</v>
      </c>
      <c r="E1227" s="15" t="str">
        <f>B1227</f>
        <v>Phenyltoloxamine</v>
      </c>
      <c r="F1227" s="20">
        <f>DATE(2017,1,17)</f>
        <v>42752</v>
      </c>
      <c r="G1227" s="13" t="s">
        <v>174</v>
      </c>
      <c r="H1227" s="13">
        <v>1</v>
      </c>
      <c r="I1227" s="15" t="s">
        <v>73</v>
      </c>
      <c r="J1227" s="15" t="s">
        <v>85</v>
      </c>
    </row>
    <row r="1228" spans="1:12" s="14" customFormat="1" ht="12" customHeight="1" x14ac:dyDescent="0.25">
      <c r="A1228" s="9">
        <v>1226</v>
      </c>
      <c r="B1228" s="14" t="s">
        <v>2894</v>
      </c>
      <c r="C1228" s="14" t="s">
        <v>2895</v>
      </c>
      <c r="D1228" s="13" t="s">
        <v>166</v>
      </c>
      <c r="E1228" s="15" t="str">
        <f>B1228</f>
        <v>Phenytoin</v>
      </c>
      <c r="F1228" s="20">
        <f>DATE(2020,7,30)</f>
        <v>44042</v>
      </c>
      <c r="G1228" s="13">
        <v>1956</v>
      </c>
      <c r="H1228" s="13">
        <v>1</v>
      </c>
      <c r="I1228" s="15" t="s">
        <v>100</v>
      </c>
      <c r="J1228" s="15" t="s">
        <v>630</v>
      </c>
    </row>
    <row r="1229" spans="1:12" s="14" customFormat="1" ht="12" customHeight="1" x14ac:dyDescent="0.25">
      <c r="A1229" s="9">
        <v>1227</v>
      </c>
      <c r="B1229" s="14" t="s">
        <v>2896</v>
      </c>
      <c r="C1229" s="14" t="s">
        <v>2897</v>
      </c>
      <c r="D1229" s="13" t="s">
        <v>31</v>
      </c>
      <c r="E1229" s="15"/>
      <c r="F1229" s="20"/>
      <c r="G1229" s="13">
        <v>1946</v>
      </c>
      <c r="H1229" s="13">
        <v>0</v>
      </c>
      <c r="I1229" s="15" t="s">
        <v>100</v>
      </c>
      <c r="J1229" s="15" t="s">
        <v>219</v>
      </c>
    </row>
    <row r="1230" spans="1:12" s="14" customFormat="1" ht="12" customHeight="1" x14ac:dyDescent="0.25">
      <c r="A1230" s="9">
        <v>1228</v>
      </c>
      <c r="B1230" s="14" t="s">
        <v>2898</v>
      </c>
      <c r="C1230" s="14" t="s">
        <v>188</v>
      </c>
      <c r="D1230" s="13" t="s">
        <v>31</v>
      </c>
      <c r="E1230" s="15" t="s">
        <v>2299</v>
      </c>
      <c r="F1230" s="20">
        <f>DATE(2021,5,23)</f>
        <v>44339</v>
      </c>
      <c r="G1230" s="13" t="s">
        <v>174</v>
      </c>
      <c r="H1230" s="13">
        <v>1</v>
      </c>
      <c r="I1230" s="15" t="s">
        <v>190</v>
      </c>
      <c r="J1230" s="15" t="s">
        <v>198</v>
      </c>
    </row>
    <row r="1231" spans="1:12" s="14" customFormat="1" ht="12" customHeight="1" x14ac:dyDescent="0.25">
      <c r="A1231" s="9">
        <v>1229</v>
      </c>
      <c r="B1231" s="14" t="s">
        <v>2899</v>
      </c>
      <c r="C1231" s="14" t="s">
        <v>1787</v>
      </c>
      <c r="D1231" s="13" t="s">
        <v>14</v>
      </c>
      <c r="E1231" s="15" t="s">
        <v>1787</v>
      </c>
      <c r="F1231" s="20">
        <f>DATE(2022,1,25)</f>
        <v>44586</v>
      </c>
      <c r="G1231" s="13">
        <v>2017</v>
      </c>
      <c r="H1231" s="13">
        <v>1</v>
      </c>
      <c r="I1231" s="15" t="s">
        <v>15</v>
      </c>
      <c r="J1231" s="15" t="s">
        <v>366</v>
      </c>
    </row>
    <row r="1232" spans="1:12" s="14" customFormat="1" ht="12" customHeight="1" x14ac:dyDescent="0.25">
      <c r="A1232" s="9">
        <v>1230</v>
      </c>
      <c r="B1232" s="14" t="s">
        <v>2900</v>
      </c>
      <c r="C1232" s="14" t="s">
        <v>188</v>
      </c>
      <c r="D1232" s="13" t="s">
        <v>31</v>
      </c>
      <c r="E1232" s="15" t="str">
        <f>B1232</f>
        <v>Pilocarpine</v>
      </c>
      <c r="F1232" s="20">
        <f>DATE(2020,3,20)</f>
        <v>43910</v>
      </c>
      <c r="G1232" s="13">
        <v>1994</v>
      </c>
      <c r="H1232" s="13">
        <v>1</v>
      </c>
      <c r="I1232" s="15" t="s">
        <v>78</v>
      </c>
      <c r="J1232" s="15" t="s">
        <v>849</v>
      </c>
    </row>
    <row r="1233" spans="1:35" s="14" customFormat="1" ht="12" customHeight="1" x14ac:dyDescent="0.25">
      <c r="A1233" s="9">
        <v>1231</v>
      </c>
      <c r="B1233" s="14" t="s">
        <v>2901</v>
      </c>
      <c r="C1233" s="14" t="s">
        <v>2902</v>
      </c>
      <c r="D1233" s="13" t="s">
        <v>31</v>
      </c>
      <c r="E1233" s="15" t="str">
        <f>B1233</f>
        <v>Pimavanserin</v>
      </c>
      <c r="F1233" s="20">
        <f>DATE(2023,6,5)</f>
        <v>45082</v>
      </c>
      <c r="G1233" s="13">
        <v>2016</v>
      </c>
      <c r="H1233" s="13">
        <v>1</v>
      </c>
      <c r="I1233" s="15" t="s">
        <v>100</v>
      </c>
      <c r="J1233" s="15" t="s">
        <v>328</v>
      </c>
    </row>
    <row r="1234" spans="1:35" s="14" customFormat="1" ht="12" customHeight="1" x14ac:dyDescent="0.25">
      <c r="A1234" s="9">
        <v>1232</v>
      </c>
      <c r="B1234" s="14" t="s">
        <v>2903</v>
      </c>
      <c r="C1234" s="14" t="s">
        <v>2904</v>
      </c>
      <c r="D1234" s="13" t="s">
        <v>31</v>
      </c>
      <c r="E1234" s="15" t="str">
        <f>B1234</f>
        <v>Pimozide</v>
      </c>
      <c r="F1234" s="20">
        <f>DATE(2020,7,1)</f>
        <v>44013</v>
      </c>
      <c r="G1234" s="13">
        <v>1984</v>
      </c>
      <c r="H1234" s="13">
        <v>1</v>
      </c>
      <c r="I1234" s="15" t="s">
        <v>100</v>
      </c>
      <c r="J1234" s="15" t="s">
        <v>328</v>
      </c>
    </row>
    <row r="1235" spans="1:35" s="14" customFormat="1" ht="12" customHeight="1" x14ac:dyDescent="0.25">
      <c r="A1235" s="9">
        <v>1233</v>
      </c>
      <c r="B1235" s="14" t="s">
        <v>2905</v>
      </c>
      <c r="C1235" s="14" t="s">
        <v>2906</v>
      </c>
      <c r="D1235" s="13" t="s">
        <v>31</v>
      </c>
      <c r="E1235" s="15" t="str">
        <f>B1235</f>
        <v>Pindolol</v>
      </c>
      <c r="F1235" s="20">
        <f>DATE(2019,5,3)</f>
        <v>43588</v>
      </c>
      <c r="G1235" s="13">
        <v>1982</v>
      </c>
      <c r="H1235" s="13">
        <v>1</v>
      </c>
      <c r="I1235" s="15" t="s">
        <v>49</v>
      </c>
      <c r="J1235" s="15" t="s">
        <v>50</v>
      </c>
    </row>
    <row r="1236" spans="1:35" s="14" customFormat="1" ht="12" customHeight="1" x14ac:dyDescent="0.25">
      <c r="A1236" s="9">
        <v>1234</v>
      </c>
      <c r="B1236" s="15" t="s">
        <v>2907</v>
      </c>
      <c r="C1236" s="15" t="s">
        <v>2907</v>
      </c>
      <c r="D1236" s="13" t="s">
        <v>31</v>
      </c>
      <c r="E1236" s="14" t="s">
        <v>2907</v>
      </c>
      <c r="F1236" s="20">
        <f>DATE(2025,11,25)</f>
        <v>45986</v>
      </c>
      <c r="G1236" s="13" t="s">
        <v>174</v>
      </c>
      <c r="H1236" s="13">
        <v>1</v>
      </c>
      <c r="I1236" s="15" t="s">
        <v>175</v>
      </c>
      <c r="J1236" s="13" t="s">
        <v>2908</v>
      </c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</row>
    <row r="1237" spans="1:35" s="14" customFormat="1" ht="12" customHeight="1" x14ac:dyDescent="0.25">
      <c r="A1237" s="9">
        <v>1235</v>
      </c>
      <c r="B1237" s="14" t="s">
        <v>2909</v>
      </c>
      <c r="C1237" s="14" t="s">
        <v>2910</v>
      </c>
      <c r="D1237" s="13" t="s">
        <v>14</v>
      </c>
      <c r="E1237" s="15" t="str">
        <f>B1237</f>
        <v>Pioglitazone</v>
      </c>
      <c r="F1237" s="20">
        <f>DATE(2018,6,4)</f>
        <v>43255</v>
      </c>
      <c r="G1237" s="13">
        <v>1999</v>
      </c>
      <c r="H1237" s="13">
        <v>1</v>
      </c>
      <c r="I1237" s="15" t="s">
        <v>45</v>
      </c>
      <c r="J1237" s="15" t="s">
        <v>46</v>
      </c>
    </row>
    <row r="1238" spans="1:35" s="14" customFormat="1" ht="12" customHeight="1" x14ac:dyDescent="0.25">
      <c r="A1238" s="9">
        <v>1236</v>
      </c>
      <c r="B1238" s="14" t="s">
        <v>2911</v>
      </c>
      <c r="C1238" s="14" t="s">
        <v>2912</v>
      </c>
      <c r="D1238" s="13" t="s">
        <v>44</v>
      </c>
      <c r="E1238" s="15" t="str">
        <f>B1238</f>
        <v>Piperacillin</v>
      </c>
      <c r="F1238" s="20">
        <f>DATE(2020,10,20)</f>
        <v>44124</v>
      </c>
      <c r="G1238" s="13">
        <v>1981</v>
      </c>
      <c r="H1238" s="13">
        <v>1</v>
      </c>
      <c r="I1238" s="15" t="s">
        <v>15</v>
      </c>
      <c r="J1238" s="15" t="s">
        <v>225</v>
      </c>
    </row>
    <row r="1239" spans="1:35" s="14" customFormat="1" ht="12" customHeight="1" x14ac:dyDescent="0.25">
      <c r="A1239" s="9">
        <v>1237</v>
      </c>
      <c r="B1239" s="14" t="s">
        <v>2913</v>
      </c>
      <c r="C1239" s="14" t="s">
        <v>2914</v>
      </c>
      <c r="D1239" s="13" t="s">
        <v>44</v>
      </c>
      <c r="E1239" s="15" t="str">
        <f>B1239</f>
        <v>Piperacillin/Tazobactam</v>
      </c>
      <c r="F1239" s="20">
        <f>DATE(2020,10,20)</f>
        <v>44124</v>
      </c>
      <c r="G1239" s="13">
        <v>1985</v>
      </c>
      <c r="H1239" s="13">
        <v>1</v>
      </c>
      <c r="I1239" s="15" t="s">
        <v>15</v>
      </c>
      <c r="J1239" s="15" t="s">
        <v>225</v>
      </c>
    </row>
    <row r="1240" spans="1:35" s="14" customFormat="1" ht="12" customHeight="1" x14ac:dyDescent="0.25">
      <c r="A1240" s="9">
        <v>1238</v>
      </c>
      <c r="B1240" s="14" t="s">
        <v>2915</v>
      </c>
      <c r="C1240" s="14" t="s">
        <v>2916</v>
      </c>
      <c r="D1240" s="13" t="s">
        <v>31</v>
      </c>
      <c r="E1240" s="15" t="s">
        <v>127</v>
      </c>
      <c r="F1240" s="20">
        <f>DATE(2017,9,10)</f>
        <v>42988</v>
      </c>
      <c r="G1240" s="13">
        <v>1986</v>
      </c>
      <c r="H1240" s="13">
        <v>1</v>
      </c>
      <c r="I1240" s="15" t="s">
        <v>73</v>
      </c>
      <c r="J1240" s="15" t="s">
        <v>74</v>
      </c>
    </row>
    <row r="1241" spans="1:35" s="14" customFormat="1" ht="12" customHeight="1" x14ac:dyDescent="0.25">
      <c r="A1241" s="9">
        <v>1239</v>
      </c>
      <c r="B1241" s="14" t="s">
        <v>2917</v>
      </c>
      <c r="C1241" s="14" t="s">
        <v>2918</v>
      </c>
      <c r="D1241" s="13" t="s">
        <v>36</v>
      </c>
      <c r="E1241" s="15" t="str">
        <f>B1241</f>
        <v>Pirfenidone</v>
      </c>
      <c r="F1241" s="20">
        <f>DATE(2025,4,15)</f>
        <v>45762</v>
      </c>
      <c r="G1241" s="13">
        <v>2014</v>
      </c>
      <c r="H1241" s="13">
        <v>1</v>
      </c>
      <c r="I1241" s="15" t="s">
        <v>73</v>
      </c>
      <c r="J1241" s="15" t="s">
        <v>2578</v>
      </c>
    </row>
    <row r="1242" spans="1:35" s="14" customFormat="1" ht="12" customHeight="1" x14ac:dyDescent="0.25">
      <c r="A1242" s="9">
        <v>1240</v>
      </c>
      <c r="B1242" s="14" t="s">
        <v>2919</v>
      </c>
      <c r="C1242" s="14" t="s">
        <v>2920</v>
      </c>
      <c r="D1242" s="13" t="s">
        <v>44</v>
      </c>
      <c r="E1242" s="15" t="str">
        <f>B1242</f>
        <v>Piroxicam</v>
      </c>
      <c r="F1242" s="20">
        <f>DATE(2025,8,5)</f>
        <v>45874</v>
      </c>
      <c r="G1242" s="13">
        <v>1982</v>
      </c>
      <c r="H1242" s="13">
        <v>1</v>
      </c>
      <c r="I1242" s="15" t="s">
        <v>54</v>
      </c>
      <c r="J1242" s="15" t="s">
        <v>55</v>
      </c>
    </row>
    <row r="1243" spans="1:35" s="14" customFormat="1" ht="12" customHeight="1" x14ac:dyDescent="0.25">
      <c r="A1243" s="9">
        <v>1241</v>
      </c>
      <c r="B1243" s="15" t="s">
        <v>2921</v>
      </c>
      <c r="C1243" s="15" t="s">
        <v>2922</v>
      </c>
      <c r="D1243" s="13" t="s">
        <v>31</v>
      </c>
      <c r="E1243" s="15" t="s">
        <v>2921</v>
      </c>
      <c r="F1243" s="20">
        <f>DATE(2024,7,15)</f>
        <v>45488</v>
      </c>
      <c r="G1243" s="13">
        <v>2023</v>
      </c>
      <c r="H1243" s="13">
        <v>1</v>
      </c>
      <c r="I1243" s="15" t="s">
        <v>24</v>
      </c>
      <c r="J1243" s="15" t="s">
        <v>2923</v>
      </c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</row>
    <row r="1244" spans="1:35" s="14" customFormat="1" ht="12" customHeight="1" x14ac:dyDescent="0.25">
      <c r="A1244" s="9">
        <v>1242</v>
      </c>
      <c r="B1244" s="14" t="s">
        <v>2924</v>
      </c>
      <c r="C1244" s="14" t="s">
        <v>2925</v>
      </c>
      <c r="D1244" s="13" t="s">
        <v>36</v>
      </c>
      <c r="E1244" s="15" t="str">
        <f t="shared" ref="E1244:E1249" si="28">B1244</f>
        <v>Pitavastatin</v>
      </c>
      <c r="F1244" s="20">
        <f>DATE(2021,12,1)</f>
        <v>44531</v>
      </c>
      <c r="G1244" s="13">
        <v>2009</v>
      </c>
      <c r="H1244" s="13">
        <v>1</v>
      </c>
      <c r="I1244" s="15" t="s">
        <v>49</v>
      </c>
      <c r="J1244" s="15" t="s">
        <v>161</v>
      </c>
    </row>
    <row r="1245" spans="1:35" s="14" customFormat="1" ht="12" customHeight="1" x14ac:dyDescent="0.25">
      <c r="A1245" s="9">
        <v>1243</v>
      </c>
      <c r="B1245" s="14" t="s">
        <v>2926</v>
      </c>
      <c r="C1245" s="14" t="s">
        <v>2927</v>
      </c>
      <c r="D1245" s="13" t="s">
        <v>31</v>
      </c>
      <c r="E1245" s="15" t="str">
        <f t="shared" si="28"/>
        <v>Pitolisant</v>
      </c>
      <c r="F1245" s="20">
        <f>DATE(2021,8,18)</f>
        <v>44426</v>
      </c>
      <c r="G1245" s="13">
        <v>2019</v>
      </c>
      <c r="H1245" s="13">
        <v>1</v>
      </c>
      <c r="I1245" s="15" t="s">
        <v>100</v>
      </c>
      <c r="J1245" s="15" t="s">
        <v>2928</v>
      </c>
    </row>
    <row r="1246" spans="1:35" s="14" customFormat="1" ht="12" customHeight="1" x14ac:dyDescent="0.25">
      <c r="A1246" s="9">
        <v>1244</v>
      </c>
      <c r="B1246" s="14" t="s">
        <v>2929</v>
      </c>
      <c r="C1246" s="14" t="s">
        <v>2930</v>
      </c>
      <c r="D1246" s="13" t="s">
        <v>31</v>
      </c>
      <c r="E1246" s="15" t="str">
        <f t="shared" si="28"/>
        <v>Plazomcin</v>
      </c>
      <c r="F1246" s="20">
        <f>DATE(2019,4,12)</f>
        <v>43567</v>
      </c>
      <c r="G1246" s="13">
        <v>2018</v>
      </c>
      <c r="H1246" s="13">
        <v>1</v>
      </c>
      <c r="I1246" s="15" t="s">
        <v>15</v>
      </c>
      <c r="J1246" s="15" t="s">
        <v>1482</v>
      </c>
    </row>
    <row r="1247" spans="1:35" s="14" customFormat="1" ht="12" customHeight="1" x14ac:dyDescent="0.25">
      <c r="A1247" s="9">
        <v>1245</v>
      </c>
      <c r="B1247" s="14" t="s">
        <v>2931</v>
      </c>
      <c r="C1247" s="14" t="s">
        <v>2932</v>
      </c>
      <c r="D1247" s="16" t="s">
        <v>31</v>
      </c>
      <c r="E1247" s="15" t="str">
        <f t="shared" si="28"/>
        <v>Plecanatide</v>
      </c>
      <c r="F1247" s="20">
        <f>DATE(2019,4,25)</f>
        <v>43580</v>
      </c>
      <c r="G1247" s="13">
        <v>2017</v>
      </c>
      <c r="H1247" s="13">
        <v>1</v>
      </c>
      <c r="I1247" s="15" t="s">
        <v>182</v>
      </c>
      <c r="J1247" s="15" t="s">
        <v>2498</v>
      </c>
    </row>
    <row r="1248" spans="1:35" s="14" customFormat="1" ht="12" customHeight="1" x14ac:dyDescent="0.25">
      <c r="A1248" s="9">
        <v>1246</v>
      </c>
      <c r="B1248" s="14" t="s">
        <v>2933</v>
      </c>
      <c r="C1248" s="14" t="s">
        <v>2934</v>
      </c>
      <c r="D1248" s="13" t="s">
        <v>31</v>
      </c>
      <c r="E1248" s="15" t="str">
        <f t="shared" si="28"/>
        <v>Plerixafor</v>
      </c>
      <c r="F1248" s="12">
        <f>DATE(2019,4,15)</f>
        <v>43570</v>
      </c>
      <c r="G1248" s="13">
        <v>2008</v>
      </c>
      <c r="H1248" s="13">
        <v>1</v>
      </c>
      <c r="I1248" s="15" t="s">
        <v>139</v>
      </c>
      <c r="J1248" s="15" t="s">
        <v>2935</v>
      </c>
    </row>
    <row r="1249" spans="1:35" s="14" customFormat="1" ht="12" customHeight="1" x14ac:dyDescent="0.25">
      <c r="A1249" s="9">
        <v>1247</v>
      </c>
      <c r="B1249" s="14" t="s">
        <v>2936</v>
      </c>
      <c r="C1249" s="14" t="s">
        <v>2937</v>
      </c>
      <c r="D1249" s="13" t="s">
        <v>53</v>
      </c>
      <c r="E1249" s="15" t="str">
        <f t="shared" si="28"/>
        <v>Plicamycin</v>
      </c>
      <c r="F1249" s="20">
        <f>DATE(2020,2,20)</f>
        <v>43881</v>
      </c>
      <c r="G1249" s="13" t="s">
        <v>512</v>
      </c>
      <c r="H1249" s="13">
        <v>1</v>
      </c>
      <c r="I1249" s="15" t="s">
        <v>24</v>
      </c>
      <c r="J1249" s="15" t="s">
        <v>207</v>
      </c>
    </row>
    <row r="1250" spans="1:35" s="14" customFormat="1" ht="12" customHeight="1" x14ac:dyDescent="0.3">
      <c r="A1250" s="9">
        <v>1248</v>
      </c>
      <c r="B1250" s="14" t="s">
        <v>2938</v>
      </c>
      <c r="C1250" s="14" t="s">
        <v>2939</v>
      </c>
      <c r="D1250" s="13" t="s">
        <v>77</v>
      </c>
      <c r="E1250" s="14" t="s">
        <v>2938</v>
      </c>
      <c r="F1250" s="13"/>
      <c r="G1250" s="13">
        <v>2025</v>
      </c>
      <c r="H1250" s="16">
        <v>0</v>
      </c>
      <c r="I1250" s="14" t="s">
        <v>2940</v>
      </c>
      <c r="J1250" s="14" t="s">
        <v>2941</v>
      </c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</row>
    <row r="1251" spans="1:35" s="14" customFormat="1" ht="12" customHeight="1" x14ac:dyDescent="0.25">
      <c r="A1251" s="9">
        <v>1249</v>
      </c>
      <c r="B1251" s="14" t="s">
        <v>2942</v>
      </c>
      <c r="C1251" s="14" t="s">
        <v>2943</v>
      </c>
      <c r="D1251" s="13" t="s">
        <v>23</v>
      </c>
      <c r="E1251" s="15" t="s">
        <v>2944</v>
      </c>
      <c r="F1251" s="20">
        <f>DATE(2023,11,30)</f>
        <v>45260</v>
      </c>
      <c r="G1251" s="13">
        <v>2019</v>
      </c>
      <c r="H1251" s="13">
        <v>1</v>
      </c>
      <c r="I1251" s="15" t="s">
        <v>24</v>
      </c>
      <c r="J1251" s="15" t="s">
        <v>2945</v>
      </c>
    </row>
    <row r="1252" spans="1:35" s="14" customFormat="1" ht="12" customHeight="1" x14ac:dyDescent="0.25">
      <c r="A1252" s="9">
        <v>1250</v>
      </c>
      <c r="B1252" s="14" t="s">
        <v>2946</v>
      </c>
      <c r="C1252" s="14" t="s">
        <v>188</v>
      </c>
      <c r="D1252" s="13" t="s">
        <v>166</v>
      </c>
      <c r="E1252" s="15" t="str">
        <f>B1252</f>
        <v>Polygonum Multiflorum</v>
      </c>
      <c r="F1252" s="20">
        <f>DATE(2020,8,15)</f>
        <v>44058</v>
      </c>
      <c r="G1252" s="13" t="s">
        <v>174</v>
      </c>
      <c r="H1252" s="13">
        <v>1</v>
      </c>
      <c r="I1252" s="15" t="s">
        <v>175</v>
      </c>
      <c r="J1252" s="15" t="s">
        <v>2947</v>
      </c>
    </row>
    <row r="1253" spans="1:35" s="14" customFormat="1" ht="12" customHeight="1" x14ac:dyDescent="0.25">
      <c r="A1253" s="9">
        <v>1251</v>
      </c>
      <c r="B1253" s="14" t="s">
        <v>2948</v>
      </c>
      <c r="C1253" s="14" t="s">
        <v>2949</v>
      </c>
      <c r="D1253" s="13" t="s">
        <v>36</v>
      </c>
      <c r="E1253" s="15" t="s">
        <v>507</v>
      </c>
      <c r="F1253" s="20">
        <f>DATE(2021,10,3)</f>
        <v>44472</v>
      </c>
      <c r="G1253" s="13">
        <v>1961</v>
      </c>
      <c r="H1253" s="13">
        <v>1</v>
      </c>
      <c r="I1253" s="15" t="s">
        <v>49</v>
      </c>
      <c r="J1253" s="15" t="s">
        <v>59</v>
      </c>
    </row>
    <row r="1254" spans="1:35" s="14" customFormat="1" ht="12" customHeight="1" x14ac:dyDescent="0.25">
      <c r="A1254" s="9">
        <v>1252</v>
      </c>
      <c r="B1254" s="14" t="s">
        <v>2950</v>
      </c>
      <c r="C1254" s="14" t="s">
        <v>2951</v>
      </c>
      <c r="D1254" s="13" t="s">
        <v>36</v>
      </c>
      <c r="E1254" s="15" t="str">
        <f>B1254</f>
        <v>Pomalidomide</v>
      </c>
      <c r="F1254" s="20">
        <f>DATE(2022,8,20)</f>
        <v>44793</v>
      </c>
      <c r="G1254" s="13">
        <v>2013</v>
      </c>
      <c r="H1254" s="13">
        <v>1</v>
      </c>
      <c r="I1254" s="15" t="s">
        <v>24</v>
      </c>
      <c r="J1254" s="15" t="s">
        <v>601</v>
      </c>
    </row>
    <row r="1255" spans="1:35" s="14" customFormat="1" ht="12" customHeight="1" x14ac:dyDescent="0.25">
      <c r="A1255" s="9">
        <v>1253</v>
      </c>
      <c r="B1255" s="14" t="s">
        <v>2952</v>
      </c>
      <c r="C1255" s="14" t="s">
        <v>2953</v>
      </c>
      <c r="D1255" s="13" t="s">
        <v>23</v>
      </c>
      <c r="E1255" s="15" t="str">
        <f>B1255</f>
        <v>Ponatinib</v>
      </c>
      <c r="F1255" s="20">
        <f>DATE(2020,6,8)</f>
        <v>43990</v>
      </c>
      <c r="G1255" s="13">
        <v>2012</v>
      </c>
      <c r="H1255" s="13">
        <v>1</v>
      </c>
      <c r="I1255" s="15" t="s">
        <v>24</v>
      </c>
      <c r="J1255" s="15" t="s">
        <v>596</v>
      </c>
    </row>
    <row r="1256" spans="1:35" s="14" customFormat="1" ht="12" customHeight="1" x14ac:dyDescent="0.25">
      <c r="A1256" s="9">
        <v>1254</v>
      </c>
      <c r="B1256" s="14" t="s">
        <v>2954</v>
      </c>
      <c r="C1256" s="14" t="s">
        <v>2955</v>
      </c>
      <c r="D1256" s="13" t="s">
        <v>23</v>
      </c>
      <c r="E1256" s="15" t="str">
        <f>B1256</f>
        <v>Ponesimod</v>
      </c>
      <c r="F1256" s="20">
        <f>DATE(2025,11,25)</f>
        <v>45986</v>
      </c>
      <c r="G1256" s="13">
        <v>2019</v>
      </c>
      <c r="H1256" s="13">
        <v>1</v>
      </c>
      <c r="I1256" s="15" t="s">
        <v>100</v>
      </c>
      <c r="J1256" s="15" t="s">
        <v>1076</v>
      </c>
    </row>
    <row r="1257" spans="1:35" s="14" customFormat="1" ht="12" customHeight="1" x14ac:dyDescent="0.25">
      <c r="A1257" s="9">
        <v>1255</v>
      </c>
      <c r="B1257" s="14" t="s">
        <v>2956</v>
      </c>
      <c r="C1257" s="14" t="s">
        <v>2957</v>
      </c>
      <c r="D1257" s="13" t="s">
        <v>23</v>
      </c>
      <c r="E1257" s="15" t="str">
        <f>B1257</f>
        <v>Posaconazole</v>
      </c>
      <c r="F1257" s="20">
        <f>DATE(2017,5,17)</f>
        <v>42872</v>
      </c>
      <c r="G1257" s="13">
        <v>2006</v>
      </c>
      <c r="H1257" s="13">
        <v>1</v>
      </c>
      <c r="I1257" s="15" t="s">
        <v>15</v>
      </c>
      <c r="J1257" s="15" t="s">
        <v>271</v>
      </c>
    </row>
    <row r="1258" spans="1:35" s="14" customFormat="1" ht="12" customHeight="1" x14ac:dyDescent="0.25">
      <c r="A1258" s="9">
        <v>1256</v>
      </c>
      <c r="B1258" s="14" t="s">
        <v>2958</v>
      </c>
      <c r="C1258" s="14" t="s">
        <v>2959</v>
      </c>
      <c r="D1258" s="13" t="s">
        <v>77</v>
      </c>
      <c r="E1258" s="14" t="s">
        <v>2958</v>
      </c>
      <c r="F1258" s="20"/>
      <c r="G1258" s="13">
        <v>2023</v>
      </c>
      <c r="H1258" s="13">
        <v>0</v>
      </c>
      <c r="I1258" s="15" t="s">
        <v>104</v>
      </c>
      <c r="J1258" s="15" t="s">
        <v>2960</v>
      </c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</row>
    <row r="1259" spans="1:35" s="14" customFormat="1" ht="12" customHeight="1" x14ac:dyDescent="0.25">
      <c r="A1259" s="9">
        <v>1257</v>
      </c>
      <c r="B1259" s="14" t="s">
        <v>2961</v>
      </c>
      <c r="C1259" s="14" t="s">
        <v>2962</v>
      </c>
      <c r="D1259" s="13" t="s">
        <v>23</v>
      </c>
      <c r="E1259" s="15" t="str">
        <f>B1259</f>
        <v>Pralatrexate</v>
      </c>
      <c r="F1259" s="20">
        <f>DATE(2016,5,1)</f>
        <v>42491</v>
      </c>
      <c r="G1259" s="13">
        <v>2009</v>
      </c>
      <c r="H1259" s="13">
        <v>1</v>
      </c>
      <c r="I1259" s="15" t="s">
        <v>24</v>
      </c>
      <c r="J1259" s="15" t="s">
        <v>207</v>
      </c>
    </row>
    <row r="1260" spans="1:35" s="14" customFormat="1" ht="12" customHeight="1" x14ac:dyDescent="0.25">
      <c r="A1260" s="9">
        <v>1258</v>
      </c>
      <c r="B1260" s="14" t="s">
        <v>2963</v>
      </c>
      <c r="C1260" s="14" t="s">
        <v>2964</v>
      </c>
      <c r="D1260" s="13" t="s">
        <v>23</v>
      </c>
      <c r="E1260" s="15" t="s">
        <v>2963</v>
      </c>
      <c r="F1260" s="20">
        <f>DATE(2023,8,23)</f>
        <v>45161</v>
      </c>
      <c r="G1260" s="16">
        <v>2020</v>
      </c>
      <c r="H1260" s="13">
        <v>1</v>
      </c>
      <c r="I1260" s="15" t="s">
        <v>24</v>
      </c>
      <c r="J1260" s="15" t="s">
        <v>2965</v>
      </c>
    </row>
    <row r="1261" spans="1:35" s="14" customFormat="1" ht="12" customHeight="1" x14ac:dyDescent="0.25">
      <c r="A1261" s="9">
        <v>1259</v>
      </c>
      <c r="B1261" s="14" t="s">
        <v>2966</v>
      </c>
      <c r="C1261" s="14" t="s">
        <v>2967</v>
      </c>
      <c r="D1261" s="13" t="s">
        <v>31</v>
      </c>
      <c r="E1261" s="15" t="str">
        <f t="shared" ref="E1261:E1266" si="29">B1261</f>
        <v>Pramipexole</v>
      </c>
      <c r="F1261" s="20">
        <f>DATE(2017,7,20)</f>
        <v>42936</v>
      </c>
      <c r="G1261" s="13">
        <v>1997</v>
      </c>
      <c r="H1261" s="13">
        <v>1</v>
      </c>
      <c r="I1261" s="15" t="s">
        <v>100</v>
      </c>
      <c r="J1261" s="15" t="s">
        <v>210</v>
      </c>
    </row>
    <row r="1262" spans="1:35" s="14" customFormat="1" ht="12" customHeight="1" x14ac:dyDescent="0.25">
      <c r="A1262" s="9">
        <v>1260</v>
      </c>
      <c r="B1262" s="14" t="s">
        <v>2968</v>
      </c>
      <c r="C1262" s="14" t="s">
        <v>2969</v>
      </c>
      <c r="D1262" s="13" t="s">
        <v>31</v>
      </c>
      <c r="E1262" s="15" t="str">
        <f t="shared" si="29"/>
        <v>Pramlintide</v>
      </c>
      <c r="F1262" s="20">
        <f>DATE(2016,6,24)</f>
        <v>42545</v>
      </c>
      <c r="G1262" s="13">
        <v>2005</v>
      </c>
      <c r="H1262" s="13">
        <v>1</v>
      </c>
      <c r="I1262" s="15" t="s">
        <v>45</v>
      </c>
      <c r="J1262" s="15" t="s">
        <v>46</v>
      </c>
    </row>
    <row r="1263" spans="1:35" s="14" customFormat="1" ht="12" customHeight="1" x14ac:dyDescent="0.25">
      <c r="A1263" s="9">
        <v>1261</v>
      </c>
      <c r="B1263" s="14" t="s">
        <v>2970</v>
      </c>
      <c r="C1263" s="14" t="s">
        <v>2971</v>
      </c>
      <c r="D1263" s="13" t="s">
        <v>36</v>
      </c>
      <c r="E1263" s="15" t="str">
        <f t="shared" si="29"/>
        <v>Prasugrel</v>
      </c>
      <c r="F1263" s="20">
        <f>DATE(2020,9,24)</f>
        <v>44098</v>
      </c>
      <c r="G1263" s="13">
        <v>2009</v>
      </c>
      <c r="H1263" s="13">
        <v>1</v>
      </c>
      <c r="I1263" s="15" t="s">
        <v>230</v>
      </c>
      <c r="J1263" s="15" t="s">
        <v>709</v>
      </c>
    </row>
    <row r="1264" spans="1:35" s="14" customFormat="1" ht="12" customHeight="1" x14ac:dyDescent="0.25">
      <c r="A1264" s="9">
        <v>1262</v>
      </c>
      <c r="B1264" s="14" t="s">
        <v>2972</v>
      </c>
      <c r="C1264" s="14" t="s">
        <v>2973</v>
      </c>
      <c r="D1264" s="13" t="s">
        <v>44</v>
      </c>
      <c r="E1264" s="15" t="str">
        <f t="shared" si="29"/>
        <v>Pravastatin</v>
      </c>
      <c r="F1264" s="20">
        <f>DATE(2021,12,1)</f>
        <v>44531</v>
      </c>
      <c r="G1264" s="13">
        <v>1991</v>
      </c>
      <c r="H1264" s="13">
        <v>1</v>
      </c>
      <c r="I1264" s="15" t="s">
        <v>49</v>
      </c>
      <c r="J1264" s="15" t="s">
        <v>161</v>
      </c>
    </row>
    <row r="1265" spans="1:10" s="14" customFormat="1" ht="12" customHeight="1" x14ac:dyDescent="0.25">
      <c r="A1265" s="9">
        <v>1263</v>
      </c>
      <c r="B1265" s="14" t="s">
        <v>2974</v>
      </c>
      <c r="C1265" s="14" t="s">
        <v>2975</v>
      </c>
      <c r="D1265" s="13" t="s">
        <v>36</v>
      </c>
      <c r="E1265" s="15" t="str">
        <f t="shared" si="29"/>
        <v>Praziquantel</v>
      </c>
      <c r="F1265" s="20">
        <f>DATE(2020,7,20)</f>
        <v>44032</v>
      </c>
      <c r="G1265" s="13">
        <v>1982</v>
      </c>
      <c r="H1265" s="13">
        <v>1</v>
      </c>
      <c r="I1265" s="15" t="s">
        <v>15</v>
      </c>
      <c r="J1265" s="15" t="s">
        <v>122</v>
      </c>
    </row>
    <row r="1266" spans="1:10" s="14" customFormat="1" ht="12" customHeight="1" x14ac:dyDescent="0.25">
      <c r="A1266" s="9">
        <v>1264</v>
      </c>
      <c r="B1266" s="14" t="s">
        <v>2976</v>
      </c>
      <c r="C1266" s="14" t="s">
        <v>2977</v>
      </c>
      <c r="D1266" s="13" t="s">
        <v>23</v>
      </c>
      <c r="E1266" s="15" t="str">
        <f t="shared" si="29"/>
        <v>Prazosin</v>
      </c>
      <c r="F1266" s="20">
        <f>DATE(2018,1,5)</f>
        <v>43105</v>
      </c>
      <c r="G1266" s="13">
        <v>1976</v>
      </c>
      <c r="H1266" s="13">
        <v>1</v>
      </c>
      <c r="I1266" s="15" t="s">
        <v>49</v>
      </c>
      <c r="J1266" s="15" t="s">
        <v>50</v>
      </c>
    </row>
    <row r="1267" spans="1:10" s="14" customFormat="1" ht="12" customHeight="1" x14ac:dyDescent="0.25">
      <c r="A1267" s="9">
        <v>1265</v>
      </c>
      <c r="B1267" s="14" t="s">
        <v>2978</v>
      </c>
      <c r="C1267" s="14" t="s">
        <v>2979</v>
      </c>
      <c r="D1267" s="13" t="s">
        <v>31</v>
      </c>
      <c r="E1267" s="15" t="s">
        <v>536</v>
      </c>
      <c r="F1267" s="20">
        <f>DATE(2021,5,5)</f>
        <v>44321</v>
      </c>
      <c r="G1267" s="13">
        <v>1955</v>
      </c>
      <c r="H1267" s="13">
        <v>1</v>
      </c>
      <c r="I1267" s="15" t="s">
        <v>45</v>
      </c>
      <c r="J1267" s="15" t="s">
        <v>537</v>
      </c>
    </row>
    <row r="1268" spans="1:10" s="14" customFormat="1" ht="12" customHeight="1" x14ac:dyDescent="0.25">
      <c r="A1268" s="9">
        <v>1266</v>
      </c>
      <c r="B1268" s="14" t="s">
        <v>2980</v>
      </c>
      <c r="C1268" s="14" t="s">
        <v>2981</v>
      </c>
      <c r="D1268" s="13" t="s">
        <v>31</v>
      </c>
      <c r="E1268" s="15" t="s">
        <v>536</v>
      </c>
      <c r="F1268" s="20">
        <f>DATE(2021,5,5)</f>
        <v>44321</v>
      </c>
      <c r="G1268" s="13">
        <v>1955</v>
      </c>
      <c r="H1268" s="13">
        <v>1</v>
      </c>
      <c r="I1268" s="15" t="s">
        <v>45</v>
      </c>
      <c r="J1268" s="15" t="s">
        <v>537</v>
      </c>
    </row>
    <row r="1269" spans="1:10" s="14" customFormat="1" ht="12" customHeight="1" x14ac:dyDescent="0.25">
      <c r="A1269" s="9">
        <v>1267</v>
      </c>
      <c r="B1269" s="14" t="s">
        <v>2982</v>
      </c>
      <c r="C1269" s="14" t="s">
        <v>2983</v>
      </c>
      <c r="D1269" s="13" t="s">
        <v>14</v>
      </c>
      <c r="E1269" s="15" t="str">
        <f>B1269</f>
        <v>Pregabalin</v>
      </c>
      <c r="F1269" s="20">
        <f>DATE(2020,7,30)</f>
        <v>44042</v>
      </c>
      <c r="G1269" s="13">
        <v>2004</v>
      </c>
      <c r="H1269" s="13">
        <v>1</v>
      </c>
      <c r="I1269" s="15" t="s">
        <v>100</v>
      </c>
      <c r="J1269" s="15" t="s">
        <v>630</v>
      </c>
    </row>
    <row r="1270" spans="1:10" s="14" customFormat="1" ht="12" customHeight="1" x14ac:dyDescent="0.25">
      <c r="A1270" s="9">
        <v>1268</v>
      </c>
      <c r="B1270" s="14" t="s">
        <v>2984</v>
      </c>
      <c r="C1270" s="14" t="s">
        <v>2984</v>
      </c>
      <c r="D1270" s="13" t="s">
        <v>36</v>
      </c>
      <c r="E1270" s="15" t="str">
        <f>B1270</f>
        <v>Pretomanid</v>
      </c>
      <c r="F1270" s="20">
        <f>DATE(2019,10,15)</f>
        <v>43753</v>
      </c>
      <c r="G1270" s="13">
        <v>2019</v>
      </c>
      <c r="H1270" s="13">
        <v>1</v>
      </c>
      <c r="I1270" s="15" t="s">
        <v>791</v>
      </c>
      <c r="J1270" s="15" t="s">
        <v>2985</v>
      </c>
    </row>
    <row r="1271" spans="1:10" s="14" customFormat="1" ht="12" customHeight="1" x14ac:dyDescent="0.25">
      <c r="A1271" s="9">
        <v>1269</v>
      </c>
      <c r="B1271" s="14" t="s">
        <v>2986</v>
      </c>
      <c r="C1271" s="14" t="s">
        <v>2987</v>
      </c>
      <c r="D1271" s="16" t="s">
        <v>31</v>
      </c>
      <c r="E1271" s="15" t="s">
        <v>339</v>
      </c>
      <c r="F1271" s="20">
        <f>DATE(2017,1,20)</f>
        <v>42755</v>
      </c>
      <c r="G1271" s="13">
        <v>1965</v>
      </c>
      <c r="H1271" s="13">
        <v>1</v>
      </c>
      <c r="I1271" s="15" t="s">
        <v>100</v>
      </c>
      <c r="J1271" s="15" t="s">
        <v>340</v>
      </c>
    </row>
    <row r="1272" spans="1:10" s="14" customFormat="1" ht="12" customHeight="1" x14ac:dyDescent="0.25">
      <c r="A1272" s="9">
        <v>1270</v>
      </c>
      <c r="B1272" s="14" t="s">
        <v>2988</v>
      </c>
      <c r="C1272" s="14" t="s">
        <v>188</v>
      </c>
      <c r="D1272" s="13" t="s">
        <v>31</v>
      </c>
      <c r="E1272" s="15" t="str">
        <f t="shared" ref="E1272:E1277" si="30">B1272</f>
        <v>Primaquine</v>
      </c>
      <c r="F1272" s="20">
        <f>DATE(2017,2,1)</f>
        <v>42767</v>
      </c>
      <c r="G1272" s="13">
        <v>1952</v>
      </c>
      <c r="H1272" s="13">
        <v>1</v>
      </c>
      <c r="I1272" s="15" t="s">
        <v>15</v>
      </c>
      <c r="J1272" s="15" t="s">
        <v>261</v>
      </c>
    </row>
    <row r="1273" spans="1:10" s="14" customFormat="1" ht="12" customHeight="1" x14ac:dyDescent="0.25">
      <c r="A1273" s="9">
        <v>1271</v>
      </c>
      <c r="B1273" s="14" t="s">
        <v>2989</v>
      </c>
      <c r="C1273" s="14" t="s">
        <v>2990</v>
      </c>
      <c r="D1273" s="13" t="s">
        <v>23</v>
      </c>
      <c r="E1273" s="15" t="str">
        <f t="shared" si="30"/>
        <v>Primidone</v>
      </c>
      <c r="F1273" s="12">
        <f>DATE(2020,8,12)</f>
        <v>44055</v>
      </c>
      <c r="G1273" s="13">
        <v>1954</v>
      </c>
      <c r="H1273" s="13">
        <v>1</v>
      </c>
      <c r="I1273" s="15" t="s">
        <v>100</v>
      </c>
      <c r="J1273" s="15" t="s">
        <v>630</v>
      </c>
    </row>
    <row r="1274" spans="1:10" s="14" customFormat="1" ht="12" customHeight="1" x14ac:dyDescent="0.25">
      <c r="A1274" s="9">
        <v>1272</v>
      </c>
      <c r="B1274" s="14" t="s">
        <v>2991</v>
      </c>
      <c r="C1274" s="14" t="s">
        <v>2992</v>
      </c>
      <c r="D1274" s="13" t="s">
        <v>36</v>
      </c>
      <c r="E1274" s="15" t="str">
        <f t="shared" si="30"/>
        <v>Probenecid</v>
      </c>
      <c r="F1274" s="20">
        <f>DATE(2020,7,10)</f>
        <v>44022</v>
      </c>
      <c r="G1274" s="13">
        <v>1951</v>
      </c>
      <c r="H1274" s="13">
        <v>1</v>
      </c>
      <c r="I1274" s="15" t="s">
        <v>19</v>
      </c>
      <c r="J1274" s="15" t="s">
        <v>167</v>
      </c>
    </row>
    <row r="1275" spans="1:10" s="14" customFormat="1" ht="12" customHeight="1" x14ac:dyDescent="0.25">
      <c r="A1275" s="9">
        <v>1273</v>
      </c>
      <c r="B1275" s="14" t="s">
        <v>2993</v>
      </c>
      <c r="C1275" s="14" t="s">
        <v>2994</v>
      </c>
      <c r="D1275" s="13" t="s">
        <v>14</v>
      </c>
      <c r="E1275" s="15" t="str">
        <f t="shared" si="30"/>
        <v>Procainamide</v>
      </c>
      <c r="F1275" s="20">
        <f>DATE(2020,7,10)</f>
        <v>44022</v>
      </c>
      <c r="G1275" s="13">
        <v>1950</v>
      </c>
      <c r="H1275" s="13">
        <v>1</v>
      </c>
      <c r="I1275" s="15" t="s">
        <v>49</v>
      </c>
      <c r="J1275" s="15" t="s">
        <v>244</v>
      </c>
    </row>
    <row r="1276" spans="1:10" s="14" customFormat="1" ht="12" customHeight="1" x14ac:dyDescent="0.25">
      <c r="A1276" s="9">
        <v>1274</v>
      </c>
      <c r="B1276" s="14" t="s">
        <v>2995</v>
      </c>
      <c r="C1276" s="14" t="s">
        <v>2996</v>
      </c>
      <c r="D1276" s="13" t="s">
        <v>36</v>
      </c>
      <c r="E1276" s="15" t="str">
        <f t="shared" si="30"/>
        <v>Procarbazine</v>
      </c>
      <c r="F1276" s="20">
        <f>DATE(2020,9,12)</f>
        <v>44086</v>
      </c>
      <c r="G1276" s="13">
        <v>1969</v>
      </c>
      <c r="H1276" s="13">
        <v>1</v>
      </c>
      <c r="I1276" s="15" t="s">
        <v>24</v>
      </c>
      <c r="J1276" s="15" t="s">
        <v>2997</v>
      </c>
    </row>
    <row r="1277" spans="1:10" s="14" customFormat="1" ht="12" customHeight="1" x14ac:dyDescent="0.25">
      <c r="A1277" s="9">
        <v>1275</v>
      </c>
      <c r="B1277" s="14" t="s">
        <v>2998</v>
      </c>
      <c r="C1277" s="14" t="s">
        <v>2999</v>
      </c>
      <c r="D1277" s="13" t="s">
        <v>44</v>
      </c>
      <c r="E1277" s="15" t="str">
        <f t="shared" si="30"/>
        <v>Prochlorperazine</v>
      </c>
      <c r="F1277" s="20">
        <f>DATE(2020,7,1)</f>
        <v>44013</v>
      </c>
      <c r="G1277" s="13">
        <v>1956</v>
      </c>
      <c r="H1277" s="13">
        <v>1</v>
      </c>
      <c r="I1277" s="15" t="s">
        <v>182</v>
      </c>
      <c r="J1277" s="15" t="s">
        <v>318</v>
      </c>
    </row>
    <row r="1278" spans="1:10" s="14" customFormat="1" ht="12" customHeight="1" x14ac:dyDescent="0.25">
      <c r="A1278" s="9">
        <v>1276</v>
      </c>
      <c r="B1278" s="14" t="s">
        <v>3000</v>
      </c>
      <c r="C1278" s="14" t="s">
        <v>3001</v>
      </c>
      <c r="D1278" s="13" t="s">
        <v>166</v>
      </c>
      <c r="E1278" s="15" t="s">
        <v>1172</v>
      </c>
      <c r="F1278" s="12">
        <f>DATE(2020,5,24)</f>
        <v>43975</v>
      </c>
      <c r="G1278" s="13">
        <v>1960</v>
      </c>
      <c r="H1278" s="13">
        <v>1</v>
      </c>
      <c r="I1278" s="15" t="s">
        <v>473</v>
      </c>
      <c r="J1278" s="15" t="s">
        <v>1173</v>
      </c>
    </row>
    <row r="1279" spans="1:10" s="14" customFormat="1" ht="12" customHeight="1" x14ac:dyDescent="0.25">
      <c r="A1279" s="9">
        <v>1277</v>
      </c>
      <c r="B1279" s="14" t="s">
        <v>1172</v>
      </c>
      <c r="C1279" s="14" t="s">
        <v>290</v>
      </c>
      <c r="D1279" s="13" t="s">
        <v>166</v>
      </c>
      <c r="E1279" s="15" t="str">
        <f t="shared" ref="E1279:E1284" si="31">B1279</f>
        <v>Progestins</v>
      </c>
      <c r="F1279" s="20">
        <f>DATE(2020,5,24)</f>
        <v>43975</v>
      </c>
      <c r="G1279" s="13" t="s">
        <v>174</v>
      </c>
      <c r="H1279" s="13">
        <v>1</v>
      </c>
      <c r="I1279" s="15" t="s">
        <v>473</v>
      </c>
      <c r="J1279" s="15" t="s">
        <v>1173</v>
      </c>
    </row>
    <row r="1280" spans="1:10" s="14" customFormat="1" ht="12" customHeight="1" x14ac:dyDescent="0.25">
      <c r="A1280" s="9">
        <v>1278</v>
      </c>
      <c r="B1280" s="14" t="s">
        <v>3002</v>
      </c>
      <c r="C1280" s="14" t="s">
        <v>387</v>
      </c>
      <c r="D1280" s="13" t="s">
        <v>23</v>
      </c>
      <c r="E1280" s="15" t="str">
        <f t="shared" si="31"/>
        <v>Proguanil</v>
      </c>
      <c r="F1280" s="20">
        <f>DATE(2017,2,1)</f>
        <v>42767</v>
      </c>
      <c r="G1280" s="13">
        <v>2000</v>
      </c>
      <c r="H1280" s="13">
        <v>1</v>
      </c>
      <c r="I1280" s="15" t="s">
        <v>15</v>
      </c>
      <c r="J1280" s="15" t="s">
        <v>261</v>
      </c>
    </row>
    <row r="1281" spans="1:10" s="14" customFormat="1" ht="12" customHeight="1" x14ac:dyDescent="0.25">
      <c r="A1281" s="9">
        <v>1279</v>
      </c>
      <c r="B1281" s="14" t="s">
        <v>3003</v>
      </c>
      <c r="C1281" s="14" t="s">
        <v>3004</v>
      </c>
      <c r="D1281" s="13" t="s">
        <v>31</v>
      </c>
      <c r="E1281" s="15" t="str">
        <f t="shared" si="31"/>
        <v>Promethazine</v>
      </c>
      <c r="F1281" s="20">
        <f>DATE(2017,1,16)</f>
        <v>42751</v>
      </c>
      <c r="G1281" s="13">
        <v>1957</v>
      </c>
      <c r="H1281" s="13">
        <v>1</v>
      </c>
      <c r="I1281" s="15" t="s">
        <v>182</v>
      </c>
      <c r="J1281" s="15" t="s">
        <v>318</v>
      </c>
    </row>
    <row r="1282" spans="1:10" s="14" customFormat="1" ht="12" customHeight="1" x14ac:dyDescent="0.25">
      <c r="A1282" s="9">
        <v>1280</v>
      </c>
      <c r="B1282" s="14" t="s">
        <v>3005</v>
      </c>
      <c r="C1282" s="14" t="s">
        <v>3006</v>
      </c>
      <c r="D1282" s="13" t="s">
        <v>44</v>
      </c>
      <c r="E1282" s="15" t="str">
        <f t="shared" si="31"/>
        <v>Propafenone</v>
      </c>
      <c r="F1282" s="20">
        <f>DATE(2021,9,3)</f>
        <v>44442</v>
      </c>
      <c r="G1282" s="13">
        <v>1989</v>
      </c>
      <c r="H1282" s="13">
        <v>1</v>
      </c>
      <c r="I1282" s="15" t="s">
        <v>49</v>
      </c>
      <c r="J1282" s="15" t="s">
        <v>244</v>
      </c>
    </row>
    <row r="1283" spans="1:10" s="14" customFormat="1" ht="12" customHeight="1" x14ac:dyDescent="0.25">
      <c r="A1283" s="9">
        <v>1281</v>
      </c>
      <c r="B1283" s="14" t="s">
        <v>3007</v>
      </c>
      <c r="C1283" s="14" t="s">
        <v>3008</v>
      </c>
      <c r="D1283" s="13" t="s">
        <v>23</v>
      </c>
      <c r="E1283" s="15" t="str">
        <f t="shared" si="31"/>
        <v>Propantheline</v>
      </c>
      <c r="F1283" s="20">
        <f>DATE(2017,7,7)</f>
        <v>42923</v>
      </c>
      <c r="G1283" s="13">
        <v>1953</v>
      </c>
      <c r="H1283" s="13">
        <v>1</v>
      </c>
      <c r="I1283" s="15" t="s">
        <v>182</v>
      </c>
      <c r="J1283" s="15" t="s">
        <v>1879</v>
      </c>
    </row>
    <row r="1284" spans="1:10" s="14" customFormat="1" ht="12" customHeight="1" x14ac:dyDescent="0.25">
      <c r="A1284" s="9">
        <v>1282</v>
      </c>
      <c r="B1284" s="14" t="s">
        <v>1705</v>
      </c>
      <c r="C1284" s="14" t="s">
        <v>3009</v>
      </c>
      <c r="D1284" s="13" t="s">
        <v>53</v>
      </c>
      <c r="E1284" s="15" t="str">
        <f t="shared" si="31"/>
        <v>Propofol</v>
      </c>
      <c r="F1284" s="20">
        <f>DATE(2020,7,10)</f>
        <v>44022</v>
      </c>
      <c r="G1284" s="13">
        <v>1989</v>
      </c>
      <c r="H1284" s="13">
        <v>1</v>
      </c>
      <c r="I1284" s="15" t="s">
        <v>100</v>
      </c>
      <c r="J1284" s="15" t="s">
        <v>1162</v>
      </c>
    </row>
    <row r="1285" spans="1:10" s="14" customFormat="1" ht="12" customHeight="1" x14ac:dyDescent="0.25">
      <c r="A1285" s="9">
        <v>1283</v>
      </c>
      <c r="B1285" s="14" t="s">
        <v>3010</v>
      </c>
      <c r="C1285" s="14" t="s">
        <v>188</v>
      </c>
      <c r="D1285" s="13" t="s">
        <v>31</v>
      </c>
      <c r="E1285" s="15" t="s">
        <v>478</v>
      </c>
      <c r="F1285" s="20">
        <f>DATE(2022,5,1)</f>
        <v>44682</v>
      </c>
      <c r="G1285" s="13" t="s">
        <v>174</v>
      </c>
      <c r="H1285" s="13">
        <v>1</v>
      </c>
      <c r="I1285" s="15" t="s">
        <v>190</v>
      </c>
      <c r="J1285" s="15" t="s">
        <v>363</v>
      </c>
    </row>
    <row r="1286" spans="1:10" s="14" customFormat="1" ht="12" customHeight="1" x14ac:dyDescent="0.25">
      <c r="A1286" s="9">
        <v>1284</v>
      </c>
      <c r="B1286" s="14" t="s">
        <v>3011</v>
      </c>
      <c r="C1286" s="14" t="s">
        <v>3012</v>
      </c>
      <c r="D1286" s="13" t="s">
        <v>31</v>
      </c>
      <c r="E1286" s="15" t="str">
        <f>B1286</f>
        <v>Propranolol</v>
      </c>
      <c r="F1286" s="20">
        <f>DATE(2019,5,3)</f>
        <v>43588</v>
      </c>
      <c r="G1286" s="13">
        <v>1967</v>
      </c>
      <c r="H1286" s="13">
        <v>1</v>
      </c>
      <c r="I1286" s="15" t="s">
        <v>49</v>
      </c>
      <c r="J1286" s="15" t="s">
        <v>50</v>
      </c>
    </row>
    <row r="1287" spans="1:10" s="14" customFormat="1" ht="12" customHeight="1" x14ac:dyDescent="0.25">
      <c r="A1287" s="9">
        <v>1285</v>
      </c>
      <c r="B1287" s="14" t="s">
        <v>3013</v>
      </c>
      <c r="C1287" s="14" t="s">
        <v>188</v>
      </c>
      <c r="D1287" s="13" t="s">
        <v>166</v>
      </c>
      <c r="E1287" s="15" t="str">
        <f>B1287</f>
        <v>Propylthiouracil</v>
      </c>
      <c r="F1287" s="20">
        <f>DATE(2020,2,14)</f>
        <v>43875</v>
      </c>
      <c r="G1287" s="13">
        <v>1947</v>
      </c>
      <c r="H1287" s="13">
        <v>1</v>
      </c>
      <c r="I1287" s="15" t="s">
        <v>45</v>
      </c>
      <c r="J1287" s="15" t="s">
        <v>2346</v>
      </c>
    </row>
    <row r="1288" spans="1:10" s="14" customFormat="1" ht="12" customHeight="1" x14ac:dyDescent="0.25">
      <c r="A1288" s="9">
        <v>1286</v>
      </c>
      <c r="B1288" s="14" t="s">
        <v>3014</v>
      </c>
      <c r="C1288" s="14" t="s">
        <v>3015</v>
      </c>
      <c r="D1288" s="13" t="s">
        <v>23</v>
      </c>
      <c r="E1288" s="15" t="str">
        <f>B1288</f>
        <v>Protriptyline</v>
      </c>
      <c r="F1288" s="12">
        <f>DATE(2020,4,5)</f>
        <v>43926</v>
      </c>
      <c r="G1288" s="13">
        <v>1967</v>
      </c>
      <c r="H1288" s="13">
        <v>1</v>
      </c>
      <c r="I1288" s="15" t="s">
        <v>100</v>
      </c>
      <c r="J1288" s="15" t="s">
        <v>250</v>
      </c>
    </row>
    <row r="1289" spans="1:10" s="14" customFormat="1" ht="12" customHeight="1" x14ac:dyDescent="0.25">
      <c r="A1289" s="9">
        <v>1287</v>
      </c>
      <c r="B1289" s="14" t="s">
        <v>3016</v>
      </c>
      <c r="C1289" s="14" t="s">
        <v>3017</v>
      </c>
      <c r="D1289" s="13" t="s">
        <v>31</v>
      </c>
      <c r="E1289" s="15" t="str">
        <f>B1289</f>
        <v>Prucalopride</v>
      </c>
      <c r="F1289" s="20">
        <f>DATE(2019,4,25)</f>
        <v>43580</v>
      </c>
      <c r="G1289" s="13">
        <v>2018</v>
      </c>
      <c r="H1289" s="13">
        <v>1</v>
      </c>
      <c r="I1289" s="15" t="s">
        <v>182</v>
      </c>
      <c r="J1289" s="15" t="s">
        <v>2498</v>
      </c>
    </row>
    <row r="1290" spans="1:10" s="14" customFormat="1" ht="12" customHeight="1" x14ac:dyDescent="0.25">
      <c r="A1290" s="9">
        <v>1288</v>
      </c>
      <c r="B1290" s="14" t="s">
        <v>3018</v>
      </c>
      <c r="C1290" s="14" t="s">
        <v>3019</v>
      </c>
      <c r="D1290" s="13" t="s">
        <v>31</v>
      </c>
      <c r="E1290" s="15"/>
      <c r="F1290" s="20"/>
      <c r="G1290" s="13">
        <v>1975</v>
      </c>
      <c r="H1290" s="13">
        <v>0</v>
      </c>
      <c r="I1290" s="15" t="s">
        <v>73</v>
      </c>
      <c r="J1290" s="15" t="s">
        <v>85</v>
      </c>
    </row>
    <row r="1291" spans="1:10" s="14" customFormat="1" ht="12" customHeight="1" x14ac:dyDescent="0.25">
      <c r="A1291" s="9">
        <v>1289</v>
      </c>
      <c r="B1291" s="14" t="s">
        <v>2353</v>
      </c>
      <c r="C1291" s="14" t="s">
        <v>2352</v>
      </c>
      <c r="D1291" s="13" t="s">
        <v>14</v>
      </c>
      <c r="E1291" s="15" t="str">
        <f>B1291</f>
        <v>Psoralen</v>
      </c>
      <c r="F1291" s="20">
        <f>DATE(2020,1,16)</f>
        <v>43846</v>
      </c>
      <c r="G1291" s="13">
        <v>1954</v>
      </c>
      <c r="H1291" s="13">
        <v>1</v>
      </c>
      <c r="I1291" s="15" t="s">
        <v>32</v>
      </c>
      <c r="J1291" s="15" t="s">
        <v>70</v>
      </c>
    </row>
    <row r="1292" spans="1:10" s="14" customFormat="1" ht="12" customHeight="1" x14ac:dyDescent="0.25">
      <c r="A1292" s="9">
        <v>1290</v>
      </c>
      <c r="B1292" s="14" t="s">
        <v>3020</v>
      </c>
      <c r="C1292" s="14" t="s">
        <v>3021</v>
      </c>
      <c r="D1292" s="13" t="s">
        <v>31</v>
      </c>
      <c r="E1292" s="15"/>
      <c r="F1292" s="20"/>
      <c r="G1292" s="13" t="s">
        <v>174</v>
      </c>
      <c r="H1292" s="13">
        <v>0</v>
      </c>
      <c r="I1292" s="15" t="s">
        <v>182</v>
      </c>
      <c r="J1292" s="15" t="s">
        <v>397</v>
      </c>
    </row>
    <row r="1293" spans="1:10" s="14" customFormat="1" ht="12" customHeight="1" x14ac:dyDescent="0.25">
      <c r="A1293" s="9">
        <v>1291</v>
      </c>
      <c r="B1293" s="14" t="s">
        <v>3022</v>
      </c>
      <c r="C1293" s="14" t="s">
        <v>3023</v>
      </c>
      <c r="D1293" s="13" t="s">
        <v>31</v>
      </c>
      <c r="E1293" s="15" t="str">
        <f>B1293</f>
        <v>Pyrantel</v>
      </c>
      <c r="F1293" s="12">
        <f>DATE(2020,7,20)</f>
        <v>44032</v>
      </c>
      <c r="G1293" s="13" t="s">
        <v>63</v>
      </c>
      <c r="H1293" s="13">
        <v>1</v>
      </c>
      <c r="I1293" s="15" t="s">
        <v>15</v>
      </c>
      <c r="J1293" s="15" t="s">
        <v>122</v>
      </c>
    </row>
    <row r="1294" spans="1:10" s="14" customFormat="1" ht="12" customHeight="1" x14ac:dyDescent="0.25">
      <c r="A1294" s="9">
        <v>1292</v>
      </c>
      <c r="B1294" s="14" t="s">
        <v>3024</v>
      </c>
      <c r="C1294" s="14" t="s">
        <v>3025</v>
      </c>
      <c r="D1294" s="13" t="s">
        <v>166</v>
      </c>
      <c r="E1294" s="15" t="str">
        <f>B1294</f>
        <v>Pyrazinamide</v>
      </c>
      <c r="F1294" s="20">
        <f>DATE(2020,12,20)</f>
        <v>44185</v>
      </c>
      <c r="G1294" s="13">
        <v>1971</v>
      </c>
      <c r="H1294" s="13">
        <v>1</v>
      </c>
      <c r="I1294" s="15" t="s">
        <v>15</v>
      </c>
      <c r="J1294" s="15" t="s">
        <v>241</v>
      </c>
    </row>
    <row r="1295" spans="1:10" s="14" customFormat="1" ht="12" customHeight="1" x14ac:dyDescent="0.25">
      <c r="A1295" s="9">
        <v>1293</v>
      </c>
      <c r="B1295" s="14" t="s">
        <v>3026</v>
      </c>
      <c r="C1295" s="14" t="s">
        <v>3027</v>
      </c>
      <c r="D1295" s="13" t="s">
        <v>31</v>
      </c>
      <c r="E1295" s="15"/>
      <c r="F1295" s="20"/>
      <c r="G1295" s="13">
        <v>1955</v>
      </c>
      <c r="H1295" s="13">
        <v>0</v>
      </c>
      <c r="I1295" s="15" t="s">
        <v>100</v>
      </c>
      <c r="J1295" s="15" t="s">
        <v>219</v>
      </c>
    </row>
    <row r="1296" spans="1:10" s="14" customFormat="1" ht="12" customHeight="1" x14ac:dyDescent="0.25">
      <c r="A1296" s="9">
        <v>1294</v>
      </c>
      <c r="B1296" s="14" t="s">
        <v>3028</v>
      </c>
      <c r="C1296" s="14" t="s">
        <v>3029</v>
      </c>
      <c r="D1296" s="13" t="s">
        <v>31</v>
      </c>
      <c r="E1296" s="15" t="s">
        <v>573</v>
      </c>
      <c r="F1296" s="12">
        <f>DATE(2021,5,23)</f>
        <v>44339</v>
      </c>
      <c r="G1296" s="13">
        <v>1974</v>
      </c>
      <c r="H1296" s="13">
        <v>1</v>
      </c>
      <c r="I1296" s="15" t="s">
        <v>190</v>
      </c>
      <c r="J1296" s="15" t="s">
        <v>198</v>
      </c>
    </row>
    <row r="1297" spans="1:35" s="14" customFormat="1" ht="12" customHeight="1" x14ac:dyDescent="0.25">
      <c r="A1297" s="9">
        <v>1295</v>
      </c>
      <c r="B1297" s="14" t="s">
        <v>3030</v>
      </c>
      <c r="C1297" s="14" t="s">
        <v>3031</v>
      </c>
      <c r="D1297" s="13" t="s">
        <v>14</v>
      </c>
      <c r="E1297" s="15" t="s">
        <v>3032</v>
      </c>
      <c r="F1297" s="20">
        <f>DATE(2017,2,1)</f>
        <v>42767</v>
      </c>
      <c r="G1297" s="13">
        <v>1981</v>
      </c>
      <c r="H1297" s="13">
        <v>1</v>
      </c>
      <c r="I1297" s="15" t="s">
        <v>15</v>
      </c>
      <c r="J1297" s="15" t="s">
        <v>261</v>
      </c>
    </row>
    <row r="1298" spans="1:35" s="14" customFormat="1" ht="12" customHeight="1" x14ac:dyDescent="0.25">
      <c r="A1298" s="9">
        <v>1296</v>
      </c>
      <c r="B1298" s="14" t="s">
        <v>3033</v>
      </c>
      <c r="C1298" s="14" t="s">
        <v>3034</v>
      </c>
      <c r="D1298" s="13" t="s">
        <v>31</v>
      </c>
      <c r="E1298" s="15" t="str">
        <f t="shared" ref="E1298:E1304" si="32">B1298</f>
        <v>Quazepam</v>
      </c>
      <c r="F1298" s="20">
        <f>DATE(2023,6,22)</f>
        <v>45099</v>
      </c>
      <c r="G1298" s="13">
        <v>1985</v>
      </c>
      <c r="H1298" s="13">
        <v>1</v>
      </c>
      <c r="I1298" s="15" t="s">
        <v>100</v>
      </c>
      <c r="J1298" s="15" t="s">
        <v>204</v>
      </c>
    </row>
    <row r="1299" spans="1:35" s="14" customFormat="1" ht="12" customHeight="1" x14ac:dyDescent="0.25">
      <c r="A1299" s="9">
        <v>1297</v>
      </c>
      <c r="B1299" s="14" t="s">
        <v>3035</v>
      </c>
      <c r="C1299" s="14" t="s">
        <v>3036</v>
      </c>
      <c r="D1299" s="13" t="s">
        <v>31</v>
      </c>
      <c r="E1299" s="15" t="str">
        <f t="shared" si="32"/>
        <v>Quercetin</v>
      </c>
      <c r="F1299" s="20">
        <f>DATE(2020,3,28)</f>
        <v>43918</v>
      </c>
      <c r="G1299" s="13" t="s">
        <v>174</v>
      </c>
      <c r="H1299" s="13">
        <v>1</v>
      </c>
      <c r="I1299" s="15" t="s">
        <v>190</v>
      </c>
      <c r="J1299" s="15" t="s">
        <v>852</v>
      </c>
    </row>
    <row r="1300" spans="1:35" s="14" customFormat="1" ht="12" customHeight="1" x14ac:dyDescent="0.25">
      <c r="A1300" s="9">
        <v>1298</v>
      </c>
      <c r="B1300" s="14" t="s">
        <v>3037</v>
      </c>
      <c r="C1300" s="14" t="s">
        <v>3038</v>
      </c>
      <c r="D1300" s="13" t="s">
        <v>44</v>
      </c>
      <c r="E1300" s="15" t="str">
        <f t="shared" si="32"/>
        <v>Quetiapine</v>
      </c>
      <c r="F1300" s="20">
        <f>DATE(2023,6,5)</f>
        <v>45082</v>
      </c>
      <c r="G1300" s="13">
        <v>1997</v>
      </c>
      <c r="H1300" s="13">
        <v>1</v>
      </c>
      <c r="I1300" s="15" t="s">
        <v>100</v>
      </c>
      <c r="J1300" s="15" t="s">
        <v>328</v>
      </c>
    </row>
    <row r="1301" spans="1:35" s="14" customFormat="1" ht="12" customHeight="1" x14ac:dyDescent="0.25">
      <c r="A1301" s="9">
        <v>1299</v>
      </c>
      <c r="B1301" s="14" t="s">
        <v>3039</v>
      </c>
      <c r="C1301" s="14" t="s">
        <v>3040</v>
      </c>
      <c r="D1301" s="13" t="s">
        <v>23</v>
      </c>
      <c r="E1301" s="15" t="str">
        <f t="shared" si="32"/>
        <v>Quinapril</v>
      </c>
      <c r="F1301" s="20">
        <f>DATE(2017,1,15)</f>
        <v>42750</v>
      </c>
      <c r="G1301" s="13">
        <v>1991</v>
      </c>
      <c r="H1301" s="13">
        <v>1</v>
      </c>
      <c r="I1301" s="15" t="s">
        <v>49</v>
      </c>
      <c r="J1301" s="15" t="s">
        <v>50</v>
      </c>
    </row>
    <row r="1302" spans="1:35" s="14" customFormat="1" ht="12" customHeight="1" x14ac:dyDescent="0.25">
      <c r="A1302" s="9">
        <v>1300</v>
      </c>
      <c r="B1302" s="14" t="s">
        <v>3041</v>
      </c>
      <c r="C1302" s="14" t="s">
        <v>3042</v>
      </c>
      <c r="D1302" s="13" t="s">
        <v>166</v>
      </c>
      <c r="E1302" s="15" t="str">
        <f t="shared" si="32"/>
        <v>Quinidine</v>
      </c>
      <c r="F1302" s="20">
        <f>DATE(2018,5,18)</f>
        <v>43238</v>
      </c>
      <c r="G1302" s="13">
        <v>1950</v>
      </c>
      <c r="H1302" s="13">
        <v>1</v>
      </c>
      <c r="I1302" s="15" t="s">
        <v>49</v>
      </c>
      <c r="J1302" s="15" t="s">
        <v>244</v>
      </c>
    </row>
    <row r="1303" spans="1:35" s="14" customFormat="1" ht="12" customHeight="1" x14ac:dyDescent="0.25">
      <c r="A1303" s="9">
        <v>1301</v>
      </c>
      <c r="B1303" s="14" t="s">
        <v>3043</v>
      </c>
      <c r="C1303" s="14" t="s">
        <v>3044</v>
      </c>
      <c r="D1303" s="13" t="s">
        <v>44</v>
      </c>
      <c r="E1303" s="15" t="str">
        <f t="shared" si="32"/>
        <v>Quinine</v>
      </c>
      <c r="F1303" s="20">
        <f>DATE(2018,5,18)</f>
        <v>43238</v>
      </c>
      <c r="G1303" s="13">
        <v>2005</v>
      </c>
      <c r="H1303" s="13">
        <v>1</v>
      </c>
      <c r="I1303" s="15" t="s">
        <v>15</v>
      </c>
      <c r="J1303" s="15" t="s">
        <v>261</v>
      </c>
    </row>
    <row r="1304" spans="1:35" s="14" customFormat="1" ht="12" customHeight="1" x14ac:dyDescent="0.25">
      <c r="A1304" s="9">
        <v>1302</v>
      </c>
      <c r="B1304" s="14" t="s">
        <v>3045</v>
      </c>
      <c r="C1304" s="14" t="s">
        <v>1078</v>
      </c>
      <c r="D1304" s="13" t="s">
        <v>23</v>
      </c>
      <c r="E1304" s="15" t="str">
        <f t="shared" si="32"/>
        <v>Quinupristin</v>
      </c>
      <c r="F1304" s="20">
        <f>DATE(2018,5,18)</f>
        <v>43238</v>
      </c>
      <c r="G1304" s="13">
        <v>1999</v>
      </c>
      <c r="H1304" s="13">
        <v>1</v>
      </c>
      <c r="I1304" s="15" t="s">
        <v>15</v>
      </c>
      <c r="J1304" s="15" t="s">
        <v>225</v>
      </c>
    </row>
    <row r="1305" spans="1:35" s="14" customFormat="1" ht="12" customHeight="1" x14ac:dyDescent="0.25">
      <c r="A1305" s="9">
        <v>1303</v>
      </c>
      <c r="B1305" s="14" t="s">
        <v>3046</v>
      </c>
      <c r="C1305" s="14" t="s">
        <v>3047</v>
      </c>
      <c r="D1305" s="13" t="s">
        <v>31</v>
      </c>
      <c r="E1305" s="14" t="s">
        <v>3046</v>
      </c>
      <c r="F1305" s="20">
        <f>DATE(2024,7,15)</f>
        <v>45488</v>
      </c>
      <c r="G1305" s="13">
        <v>2023</v>
      </c>
      <c r="H1305" s="13">
        <v>1</v>
      </c>
      <c r="I1305" s="15" t="s">
        <v>24</v>
      </c>
      <c r="J1305" s="15" t="s">
        <v>1428</v>
      </c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</row>
    <row r="1306" spans="1:35" s="14" customFormat="1" ht="12" customHeight="1" x14ac:dyDescent="0.25">
      <c r="A1306" s="9">
        <v>1304</v>
      </c>
      <c r="B1306" s="14" t="s">
        <v>3048</v>
      </c>
      <c r="C1306" s="14" t="s">
        <v>3049</v>
      </c>
      <c r="D1306" s="13" t="s">
        <v>36</v>
      </c>
      <c r="E1306" s="15" t="str">
        <f>B1306</f>
        <v>Rabeprazole</v>
      </c>
      <c r="F1306" s="12">
        <f>DATE(2019,4,15)</f>
        <v>43570</v>
      </c>
      <c r="G1306" s="13">
        <v>1999</v>
      </c>
      <c r="H1306" s="13">
        <v>1</v>
      </c>
      <c r="I1306" s="15" t="s">
        <v>182</v>
      </c>
      <c r="J1306" s="15" t="s">
        <v>918</v>
      </c>
    </row>
    <row r="1307" spans="1:35" s="14" customFormat="1" ht="12" customHeight="1" x14ac:dyDescent="0.25">
      <c r="A1307" s="9">
        <v>1305</v>
      </c>
      <c r="B1307" s="14" t="s">
        <v>3050</v>
      </c>
      <c r="C1307" s="14" t="s">
        <v>3051</v>
      </c>
      <c r="D1307" s="13" t="s">
        <v>14</v>
      </c>
      <c r="E1307" s="15" t="s">
        <v>2718</v>
      </c>
      <c r="F1307" s="20">
        <f>DATE(2017,9,21)</f>
        <v>42999</v>
      </c>
      <c r="G1307" s="13">
        <v>1997</v>
      </c>
      <c r="H1307" s="13">
        <v>1</v>
      </c>
      <c r="I1307" s="15" t="s">
        <v>45</v>
      </c>
      <c r="J1307" s="15" t="s">
        <v>144</v>
      </c>
    </row>
    <row r="1308" spans="1:35" s="14" customFormat="1" ht="12" customHeight="1" x14ac:dyDescent="0.25">
      <c r="A1308" s="9">
        <v>1306</v>
      </c>
      <c r="B1308" s="14" t="s">
        <v>3052</v>
      </c>
      <c r="C1308" s="14" t="s">
        <v>3053</v>
      </c>
      <c r="D1308" s="13" t="s">
        <v>23</v>
      </c>
      <c r="E1308" s="15" t="str">
        <f>B1308</f>
        <v>Raltegravir</v>
      </c>
      <c r="F1308" s="20">
        <f>DATE(2018,1,30)</f>
        <v>43130</v>
      </c>
      <c r="G1308" s="13">
        <v>2007</v>
      </c>
      <c r="H1308" s="13">
        <v>1</v>
      </c>
      <c r="I1308" s="15" t="s">
        <v>15</v>
      </c>
      <c r="J1308" s="15" t="s">
        <v>16</v>
      </c>
    </row>
    <row r="1309" spans="1:35" s="14" customFormat="1" ht="12" customHeight="1" x14ac:dyDescent="0.25">
      <c r="A1309" s="9">
        <v>1307</v>
      </c>
      <c r="B1309" s="14" t="s">
        <v>3054</v>
      </c>
      <c r="C1309" s="14" t="s">
        <v>3055</v>
      </c>
      <c r="D1309" s="13" t="s">
        <v>23</v>
      </c>
      <c r="E1309" s="15" t="str">
        <f>B1309</f>
        <v>Ramelteon</v>
      </c>
      <c r="F1309" s="20">
        <f>DATE(2018,5,21)</f>
        <v>43241</v>
      </c>
      <c r="G1309" s="13">
        <v>2005</v>
      </c>
      <c r="H1309" s="13">
        <v>1</v>
      </c>
      <c r="I1309" s="15" t="s">
        <v>100</v>
      </c>
      <c r="J1309" s="15" t="s">
        <v>204</v>
      </c>
    </row>
    <row r="1310" spans="1:35" s="14" customFormat="1" ht="12" customHeight="1" x14ac:dyDescent="0.25">
      <c r="A1310" s="9">
        <v>1308</v>
      </c>
      <c r="B1310" s="14" t="s">
        <v>3056</v>
      </c>
      <c r="C1310" s="14" t="s">
        <v>3057</v>
      </c>
      <c r="D1310" s="13" t="s">
        <v>14</v>
      </c>
      <c r="E1310" s="15" t="str">
        <f>B1310</f>
        <v>Ramipril</v>
      </c>
      <c r="F1310" s="20">
        <f>DATE(2017,1,15)</f>
        <v>42750</v>
      </c>
      <c r="G1310" s="13">
        <v>1991</v>
      </c>
      <c r="H1310" s="13">
        <v>1</v>
      </c>
      <c r="I1310" s="15" t="s">
        <v>49</v>
      </c>
      <c r="J1310" s="15" t="s">
        <v>50</v>
      </c>
    </row>
    <row r="1311" spans="1:35" s="14" customFormat="1" ht="12" customHeight="1" x14ac:dyDescent="0.25">
      <c r="A1311" s="9">
        <v>1309</v>
      </c>
      <c r="B1311" s="14" t="s">
        <v>3058</v>
      </c>
      <c r="C1311" s="14" t="s">
        <v>3059</v>
      </c>
      <c r="D1311" s="13" t="s">
        <v>23</v>
      </c>
      <c r="E1311" s="15" t="str">
        <f>B1311</f>
        <v>Ramucirumab</v>
      </c>
      <c r="F1311" s="20">
        <f>DATE(2017,4,3)</f>
        <v>42828</v>
      </c>
      <c r="G1311" s="13">
        <v>2014</v>
      </c>
      <c r="H1311" s="13">
        <v>1</v>
      </c>
      <c r="I1311" s="15" t="s">
        <v>24</v>
      </c>
      <c r="J1311" s="15" t="s">
        <v>207</v>
      </c>
    </row>
    <row r="1312" spans="1:35" s="14" customFormat="1" ht="12" customHeight="1" x14ac:dyDescent="0.25">
      <c r="A1312" s="9">
        <v>1310</v>
      </c>
      <c r="B1312" s="14" t="s">
        <v>3060</v>
      </c>
      <c r="C1312" s="14" t="s">
        <v>3061</v>
      </c>
      <c r="D1312" s="13" t="s">
        <v>31</v>
      </c>
      <c r="E1312" s="15" t="s">
        <v>114</v>
      </c>
      <c r="F1312" s="20">
        <f>DATE(2024,7,31)</f>
        <v>45504</v>
      </c>
      <c r="G1312" s="13">
        <v>2009</v>
      </c>
      <c r="H1312" s="13">
        <v>1</v>
      </c>
      <c r="I1312" s="15" t="s">
        <v>78</v>
      </c>
      <c r="J1312" s="15" t="s">
        <v>115</v>
      </c>
    </row>
    <row r="1313" spans="1:35" s="14" customFormat="1" ht="12" customHeight="1" x14ac:dyDescent="0.25">
      <c r="A1313" s="9">
        <v>1311</v>
      </c>
      <c r="B1313" s="14" t="s">
        <v>3062</v>
      </c>
      <c r="C1313" s="14" t="s">
        <v>3063</v>
      </c>
      <c r="D1313" s="13" t="s">
        <v>44</v>
      </c>
      <c r="E1313" s="15" t="str">
        <f>B1313</f>
        <v>Ranitidine</v>
      </c>
      <c r="F1313" s="20">
        <f>DATE(2018,1,28)</f>
        <v>43128</v>
      </c>
      <c r="G1313" s="13">
        <v>1983</v>
      </c>
      <c r="H1313" s="13">
        <v>1</v>
      </c>
      <c r="I1313" s="15" t="s">
        <v>182</v>
      </c>
      <c r="J1313" s="15" t="s">
        <v>918</v>
      </c>
    </row>
    <row r="1314" spans="1:35" s="14" customFormat="1" ht="12" customHeight="1" x14ac:dyDescent="0.25">
      <c r="A1314" s="9">
        <v>1312</v>
      </c>
      <c r="B1314" s="14" t="s">
        <v>3064</v>
      </c>
      <c r="C1314" s="14" t="s">
        <v>3065</v>
      </c>
      <c r="D1314" s="13" t="s">
        <v>36</v>
      </c>
      <c r="E1314" s="15" t="str">
        <f>B1314</f>
        <v>Ranolazine</v>
      </c>
      <c r="F1314" s="20">
        <f>DATE(2018,5,21)</f>
        <v>43241</v>
      </c>
      <c r="G1314" s="13">
        <v>2006</v>
      </c>
      <c r="H1314" s="13">
        <v>1</v>
      </c>
      <c r="I1314" s="15" t="s">
        <v>49</v>
      </c>
      <c r="J1314" s="15" t="s">
        <v>1990</v>
      </c>
    </row>
    <row r="1315" spans="1:35" s="14" customFormat="1" ht="12" customHeight="1" x14ac:dyDescent="0.25">
      <c r="A1315" s="9">
        <v>1313</v>
      </c>
      <c r="B1315" s="14" t="s">
        <v>3066</v>
      </c>
      <c r="C1315" s="14" t="s">
        <v>3067</v>
      </c>
      <c r="D1315" s="13" t="s">
        <v>31</v>
      </c>
      <c r="E1315" s="15" t="str">
        <f>B1315</f>
        <v>Rasagiline</v>
      </c>
      <c r="F1315" s="20">
        <f>DATE(2017,7,21)</f>
        <v>42937</v>
      </c>
      <c r="G1315" s="13">
        <v>2006</v>
      </c>
      <c r="H1315" s="13">
        <v>1</v>
      </c>
      <c r="I1315" s="15" t="s">
        <v>100</v>
      </c>
      <c r="J1315" s="15" t="s">
        <v>210</v>
      </c>
    </row>
    <row r="1316" spans="1:35" s="14" customFormat="1" ht="12" customHeight="1" x14ac:dyDescent="0.25">
      <c r="A1316" s="9">
        <v>1314</v>
      </c>
      <c r="B1316" s="14" t="s">
        <v>3068</v>
      </c>
      <c r="C1316" s="14" t="s">
        <v>3069</v>
      </c>
      <c r="D1316" s="13" t="s">
        <v>36</v>
      </c>
      <c r="E1316" s="15" t="str">
        <f>B1316</f>
        <v>Rasburicase</v>
      </c>
      <c r="F1316" s="20">
        <f>DATE(2018,5,21)</f>
        <v>43241</v>
      </c>
      <c r="G1316" s="13">
        <v>2002</v>
      </c>
      <c r="H1316" s="13">
        <v>1</v>
      </c>
      <c r="I1316" s="15" t="s">
        <v>24</v>
      </c>
      <c r="J1316" s="15" t="s">
        <v>3070</v>
      </c>
    </row>
    <row r="1317" spans="1:35" s="14" customFormat="1" ht="12" customHeight="1" x14ac:dyDescent="0.25">
      <c r="A1317" s="9">
        <v>1315</v>
      </c>
      <c r="B1317" s="14" t="s">
        <v>3071</v>
      </c>
      <c r="C1317" s="14" t="s">
        <v>3072</v>
      </c>
      <c r="D1317" s="13" t="s">
        <v>23</v>
      </c>
      <c r="E1317" s="15" t="str">
        <f>B1317</f>
        <v>Ravulizumab</v>
      </c>
      <c r="F1317" s="20">
        <f>DATE(2019,2,5)</f>
        <v>43501</v>
      </c>
      <c r="G1317" s="13">
        <v>2018</v>
      </c>
      <c r="H1317" s="13">
        <v>1</v>
      </c>
      <c r="I1317" s="15" t="s">
        <v>230</v>
      </c>
      <c r="J1317" s="15" t="s">
        <v>2808</v>
      </c>
    </row>
    <row r="1318" spans="1:35" s="14" customFormat="1" ht="12" customHeight="1" x14ac:dyDescent="0.25">
      <c r="A1318" s="9">
        <v>1316</v>
      </c>
      <c r="B1318" s="14" t="s">
        <v>3073</v>
      </c>
      <c r="C1318" s="14" t="s">
        <v>3073</v>
      </c>
      <c r="D1318" s="16" t="s">
        <v>31</v>
      </c>
      <c r="E1318" s="15" t="s">
        <v>2633</v>
      </c>
      <c r="F1318" s="20">
        <f>DATE(2017,4,3)</f>
        <v>42828</v>
      </c>
      <c r="G1318" s="13">
        <v>2012</v>
      </c>
      <c r="H1318" s="13">
        <v>1</v>
      </c>
      <c r="I1318" s="15" t="s">
        <v>15</v>
      </c>
      <c r="J1318" s="15" t="s">
        <v>3074</v>
      </c>
    </row>
    <row r="1319" spans="1:35" s="14" customFormat="1" ht="12" customHeight="1" x14ac:dyDescent="0.25">
      <c r="A1319" s="9">
        <v>1317</v>
      </c>
      <c r="B1319" s="14" t="s">
        <v>3075</v>
      </c>
      <c r="C1319" s="14" t="s">
        <v>3076</v>
      </c>
      <c r="D1319" s="13" t="s">
        <v>14</v>
      </c>
      <c r="E1319" s="15" t="str">
        <f>B1319</f>
        <v>Red Yeast Rice</v>
      </c>
      <c r="F1319" s="20">
        <f>DATE(2018,5,21)</f>
        <v>43241</v>
      </c>
      <c r="G1319" s="13" t="s">
        <v>174</v>
      </c>
      <c r="H1319" s="13">
        <v>1</v>
      </c>
      <c r="I1319" s="15" t="s">
        <v>175</v>
      </c>
      <c r="J1319" s="15" t="s">
        <v>161</v>
      </c>
    </row>
    <row r="1320" spans="1:35" s="14" customFormat="1" ht="12" customHeight="1" x14ac:dyDescent="0.25">
      <c r="A1320" s="9">
        <v>1318</v>
      </c>
      <c r="B1320" s="15" t="s">
        <v>379</v>
      </c>
      <c r="C1320" s="14" t="s">
        <v>378</v>
      </c>
      <c r="D1320" s="13" t="s">
        <v>31</v>
      </c>
      <c r="E1320" s="15" t="s">
        <v>379</v>
      </c>
      <c r="F1320" s="20">
        <f>DATE(2024,6,14)</f>
        <v>45457</v>
      </c>
      <c r="G1320" s="13">
        <v>2020</v>
      </c>
      <c r="H1320" s="13">
        <v>1</v>
      </c>
      <c r="I1320" s="15" t="s">
        <v>15</v>
      </c>
      <c r="J1320" s="15" t="s">
        <v>380</v>
      </c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</row>
    <row r="1321" spans="1:35" s="14" customFormat="1" ht="12" customHeight="1" x14ac:dyDescent="0.25">
      <c r="A1321" s="9">
        <v>1319</v>
      </c>
      <c r="B1321" s="14" t="s">
        <v>3077</v>
      </c>
      <c r="C1321" s="14" t="s">
        <v>3078</v>
      </c>
      <c r="D1321" s="13" t="s">
        <v>44</v>
      </c>
      <c r="E1321" s="15" t="str">
        <f>B1321</f>
        <v>Regorafenib</v>
      </c>
      <c r="F1321" s="20">
        <f>DATE(2018,5,21)</f>
        <v>43241</v>
      </c>
      <c r="G1321" s="13">
        <v>2012</v>
      </c>
      <c r="H1321" s="13">
        <v>1</v>
      </c>
      <c r="I1321" s="15" t="s">
        <v>24</v>
      </c>
      <c r="J1321" s="15" t="s">
        <v>3079</v>
      </c>
    </row>
    <row r="1322" spans="1:35" s="14" customFormat="1" ht="12" customHeight="1" x14ac:dyDescent="0.25">
      <c r="A1322" s="9">
        <v>1320</v>
      </c>
      <c r="B1322" s="14" t="s">
        <v>3080</v>
      </c>
      <c r="C1322" s="14" t="s">
        <v>3081</v>
      </c>
      <c r="D1322" s="13" t="s">
        <v>31</v>
      </c>
      <c r="E1322" s="15" t="s">
        <v>3080</v>
      </c>
      <c r="F1322" s="20">
        <f>DATE(2023,5,28)</f>
        <v>45074</v>
      </c>
      <c r="G1322" s="16">
        <v>2020</v>
      </c>
      <c r="H1322" s="13">
        <v>1</v>
      </c>
      <c r="I1322" s="15" t="s">
        <v>24</v>
      </c>
      <c r="J1322" s="15" t="s">
        <v>28</v>
      </c>
    </row>
    <row r="1323" spans="1:35" s="14" customFormat="1" ht="12" customHeight="1" x14ac:dyDescent="0.25">
      <c r="A1323" s="9">
        <v>1321</v>
      </c>
      <c r="B1323" s="14" t="s">
        <v>3082</v>
      </c>
      <c r="C1323" s="14" t="s">
        <v>3083</v>
      </c>
      <c r="D1323" s="13" t="s">
        <v>36</v>
      </c>
      <c r="E1323" s="15" t="str">
        <f>B1323</f>
        <v>Remdesivir</v>
      </c>
      <c r="F1323" s="32">
        <v>44592</v>
      </c>
      <c r="G1323" s="13">
        <v>2020</v>
      </c>
      <c r="H1323" s="13">
        <v>1</v>
      </c>
      <c r="I1323" s="15" t="s">
        <v>15</v>
      </c>
      <c r="J1323" s="15" t="s">
        <v>2452</v>
      </c>
    </row>
    <row r="1324" spans="1:35" s="14" customFormat="1" ht="12" customHeight="1" x14ac:dyDescent="0.3">
      <c r="A1324" s="9">
        <v>1322</v>
      </c>
      <c r="B1324" s="14" t="s">
        <v>3084</v>
      </c>
      <c r="C1324" s="14" t="s">
        <v>3085</v>
      </c>
      <c r="D1324" s="13" t="s">
        <v>77</v>
      </c>
      <c r="E1324" s="14" t="s">
        <v>3084</v>
      </c>
      <c r="F1324" s="13"/>
      <c r="G1324" s="13">
        <v>2025</v>
      </c>
      <c r="H1324" s="16">
        <v>0</v>
      </c>
      <c r="I1324" s="14" t="s">
        <v>32</v>
      </c>
      <c r="J1324" s="14" t="s">
        <v>3086</v>
      </c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</row>
    <row r="1325" spans="1:35" s="14" customFormat="1" ht="12" customHeight="1" x14ac:dyDescent="0.25">
      <c r="A1325" s="9">
        <v>1323</v>
      </c>
      <c r="B1325" s="14" t="s">
        <v>3087</v>
      </c>
      <c r="C1325" s="14" t="s">
        <v>3088</v>
      </c>
      <c r="D1325" s="13" t="s">
        <v>31</v>
      </c>
      <c r="E1325" s="15" t="s">
        <v>147</v>
      </c>
      <c r="F1325" s="20">
        <f>DATE(2018,1,29)</f>
        <v>43129</v>
      </c>
      <c r="G1325" s="13">
        <v>1996</v>
      </c>
      <c r="H1325" s="13">
        <v>1</v>
      </c>
      <c r="I1325" s="15" t="s">
        <v>54</v>
      </c>
      <c r="J1325" s="15" t="s">
        <v>148</v>
      </c>
    </row>
    <row r="1326" spans="1:35" s="14" customFormat="1" ht="12" customHeight="1" x14ac:dyDescent="0.25">
      <c r="A1326" s="9">
        <v>1324</v>
      </c>
      <c r="B1326" s="14" t="s">
        <v>3089</v>
      </c>
      <c r="C1326" s="14" t="s">
        <v>3090</v>
      </c>
      <c r="D1326" s="13" t="s">
        <v>31</v>
      </c>
      <c r="E1326" s="15" t="s">
        <v>3089</v>
      </c>
      <c r="F1326" s="20">
        <f>DATE(2023,6,22)</f>
        <v>45099</v>
      </c>
      <c r="G1326" s="16">
        <v>2020</v>
      </c>
      <c r="H1326" s="13">
        <v>1</v>
      </c>
      <c r="I1326" s="15" t="s">
        <v>100</v>
      </c>
      <c r="J1326" s="15" t="s">
        <v>3091</v>
      </c>
    </row>
    <row r="1327" spans="1:35" s="14" customFormat="1" ht="12" customHeight="1" x14ac:dyDescent="0.25">
      <c r="A1327" s="9">
        <v>1325</v>
      </c>
      <c r="B1327" s="14" t="s">
        <v>3092</v>
      </c>
      <c r="C1327" s="14" t="s">
        <v>3093</v>
      </c>
      <c r="D1327" s="13" t="s">
        <v>36</v>
      </c>
      <c r="E1327" s="15" t="str">
        <f>B1327</f>
        <v>Repaglinide</v>
      </c>
      <c r="F1327" s="20">
        <f>DATE(2018,5,21)</f>
        <v>43241</v>
      </c>
      <c r="G1327" s="13">
        <v>1997</v>
      </c>
      <c r="H1327" s="13">
        <v>1</v>
      </c>
      <c r="I1327" s="15" t="s">
        <v>45</v>
      </c>
      <c r="J1327" s="15" t="s">
        <v>46</v>
      </c>
    </row>
    <row r="1328" spans="1:35" s="14" customFormat="1" ht="12" customHeight="1" x14ac:dyDescent="0.25">
      <c r="A1328" s="9">
        <v>1326</v>
      </c>
      <c r="B1328" s="14" t="s">
        <v>3094</v>
      </c>
      <c r="C1328" s="14" t="s">
        <v>3095</v>
      </c>
      <c r="D1328" s="13" t="s">
        <v>23</v>
      </c>
      <c r="E1328" s="14" t="s">
        <v>3094</v>
      </c>
      <c r="F1328" s="20">
        <f>DATE(2025,4,1)</f>
        <v>45748</v>
      </c>
      <c r="G1328" s="13">
        <v>2023</v>
      </c>
      <c r="H1328" s="13">
        <v>1</v>
      </c>
      <c r="I1328" s="15" t="s">
        <v>24</v>
      </c>
      <c r="J1328" s="15" t="s">
        <v>3096</v>
      </c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</row>
    <row r="1329" spans="1:35" s="14" customFormat="1" ht="12" customHeight="1" x14ac:dyDescent="0.25">
      <c r="A1329" s="9">
        <v>1327</v>
      </c>
      <c r="B1329" s="14" t="s">
        <v>3097</v>
      </c>
      <c r="C1329" s="14" t="s">
        <v>3098</v>
      </c>
      <c r="D1329" s="13" t="s">
        <v>31</v>
      </c>
      <c r="E1329" s="15" t="str">
        <f>B1329</f>
        <v>Reserpine</v>
      </c>
      <c r="F1329" s="20">
        <f>DATE(2018,5,21)</f>
        <v>43241</v>
      </c>
      <c r="G1329" s="13">
        <v>1955</v>
      </c>
      <c r="H1329" s="13">
        <v>1</v>
      </c>
      <c r="I1329" s="15" t="s">
        <v>49</v>
      </c>
      <c r="J1329" s="15" t="s">
        <v>50</v>
      </c>
    </row>
    <row r="1330" spans="1:35" s="14" customFormat="1" ht="12" customHeight="1" x14ac:dyDescent="0.25">
      <c r="A1330" s="9">
        <v>1328</v>
      </c>
      <c r="B1330" s="14" t="s">
        <v>3099</v>
      </c>
      <c r="C1330" s="14" t="s">
        <v>3100</v>
      </c>
      <c r="D1330" s="13" t="s">
        <v>31</v>
      </c>
      <c r="E1330" s="15" t="str">
        <f>B1330</f>
        <v>Reslizumab</v>
      </c>
      <c r="F1330" s="20">
        <f>DATE(2017,4,3)</f>
        <v>42828</v>
      </c>
      <c r="G1330" s="13">
        <v>2016</v>
      </c>
      <c r="H1330" s="13">
        <v>1</v>
      </c>
      <c r="I1330" s="15" t="s">
        <v>73</v>
      </c>
      <c r="J1330" s="15" t="s">
        <v>128</v>
      </c>
    </row>
    <row r="1331" spans="1:35" s="14" customFormat="1" ht="12" customHeight="1" x14ac:dyDescent="0.3">
      <c r="A1331" s="9">
        <v>1329</v>
      </c>
      <c r="B1331" s="15" t="s">
        <v>3101</v>
      </c>
      <c r="C1331" s="19" t="s">
        <v>3102</v>
      </c>
      <c r="D1331" s="13" t="s">
        <v>36</v>
      </c>
      <c r="E1331" s="15" t="s">
        <v>3101</v>
      </c>
      <c r="F1331" s="20">
        <f>DATE(2024,4,22)</f>
        <v>45404</v>
      </c>
      <c r="G1331" s="13">
        <v>2024</v>
      </c>
      <c r="H1331" s="13">
        <v>1</v>
      </c>
      <c r="I1331" s="15" t="s">
        <v>182</v>
      </c>
      <c r="J1331" s="15" t="s">
        <v>3103</v>
      </c>
      <c r="K1331" s="13"/>
    </row>
    <row r="1332" spans="1:35" s="14" customFormat="1" ht="12" customHeight="1" x14ac:dyDescent="0.25">
      <c r="A1332" s="9">
        <v>1330</v>
      </c>
      <c r="B1332" s="14" t="s">
        <v>3104</v>
      </c>
      <c r="C1332" s="14" t="s">
        <v>335</v>
      </c>
      <c r="D1332" s="13" t="s">
        <v>31</v>
      </c>
      <c r="E1332" s="15" t="str">
        <f>B1332</f>
        <v>Resveratrol</v>
      </c>
      <c r="F1332" s="20">
        <f>DATE(2018,6,4)</f>
        <v>43255</v>
      </c>
      <c r="G1332" s="13" t="s">
        <v>174</v>
      </c>
      <c r="H1332" s="13">
        <v>1</v>
      </c>
      <c r="I1332" s="15" t="s">
        <v>175</v>
      </c>
      <c r="J1332" s="15" t="s">
        <v>3105</v>
      </c>
    </row>
    <row r="1333" spans="1:35" s="14" customFormat="1" ht="12" customHeight="1" x14ac:dyDescent="0.25">
      <c r="A1333" s="9">
        <v>1331</v>
      </c>
      <c r="B1333" s="14" t="s">
        <v>3106</v>
      </c>
      <c r="C1333" s="14" t="s">
        <v>3107</v>
      </c>
      <c r="D1333" s="13" t="s">
        <v>77</v>
      </c>
      <c r="E1333" s="14" t="s">
        <v>3106</v>
      </c>
      <c r="F1333" s="20"/>
      <c r="G1333" s="13">
        <v>2023</v>
      </c>
      <c r="H1333" s="13">
        <v>0</v>
      </c>
      <c r="I1333" s="15" t="s">
        <v>24</v>
      </c>
      <c r="J1333" s="15" t="s">
        <v>3108</v>
      </c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</row>
    <row r="1334" spans="1:35" s="14" customFormat="1" ht="12" customHeight="1" x14ac:dyDescent="0.25">
      <c r="A1334" s="9">
        <v>1332</v>
      </c>
      <c r="B1334" s="14" t="s">
        <v>3109</v>
      </c>
      <c r="C1334" s="14" t="s">
        <v>3110</v>
      </c>
      <c r="D1334" s="13" t="s">
        <v>31</v>
      </c>
      <c r="E1334" s="15" t="str">
        <f>B1334</f>
        <v>Revefenacin</v>
      </c>
      <c r="F1334" s="20">
        <f>DATE(2019,4,15)</f>
        <v>43570</v>
      </c>
      <c r="G1334" s="13">
        <v>2018</v>
      </c>
      <c r="H1334" s="13">
        <v>1</v>
      </c>
      <c r="I1334" s="15" t="s">
        <v>73</v>
      </c>
      <c r="J1334" s="15" t="s">
        <v>1448</v>
      </c>
    </row>
    <row r="1335" spans="1:35" s="14" customFormat="1" ht="12" customHeight="1" x14ac:dyDescent="0.25">
      <c r="A1335" s="9">
        <v>1333</v>
      </c>
      <c r="B1335" s="14" t="s">
        <v>3111</v>
      </c>
      <c r="C1335" s="14" t="s">
        <v>3112</v>
      </c>
      <c r="D1335" s="13" t="s">
        <v>23</v>
      </c>
      <c r="E1335" s="14" t="s">
        <v>3111</v>
      </c>
      <c r="F1335" s="20">
        <f>DATE(2025,4,5)</f>
        <v>45752</v>
      </c>
      <c r="G1335" s="13">
        <v>2024</v>
      </c>
      <c r="H1335" s="13">
        <v>1</v>
      </c>
      <c r="I1335" s="14" t="s">
        <v>24</v>
      </c>
      <c r="J1335" s="14" t="s">
        <v>3113</v>
      </c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</row>
    <row r="1336" spans="1:35" s="14" customFormat="1" ht="12" customHeight="1" x14ac:dyDescent="0.25">
      <c r="A1336" s="9">
        <v>1334</v>
      </c>
      <c r="B1336" s="14" t="s">
        <v>3114</v>
      </c>
      <c r="C1336" s="14" t="s">
        <v>3115</v>
      </c>
      <c r="D1336" s="13" t="s">
        <v>77</v>
      </c>
      <c r="E1336" s="14" t="s">
        <v>3114</v>
      </c>
      <c r="F1336" s="12"/>
      <c r="G1336" s="13">
        <v>2023</v>
      </c>
      <c r="H1336" s="13">
        <v>0</v>
      </c>
      <c r="I1336" s="15" t="s">
        <v>15</v>
      </c>
      <c r="J1336" s="15" t="s">
        <v>3116</v>
      </c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</row>
    <row r="1337" spans="1:35" s="14" customFormat="1" ht="12" customHeight="1" x14ac:dyDescent="0.25">
      <c r="A1337" s="9">
        <v>1335</v>
      </c>
      <c r="B1337" s="14" t="s">
        <v>3117</v>
      </c>
      <c r="C1337" s="14" t="s">
        <v>3118</v>
      </c>
      <c r="D1337" s="13" t="s">
        <v>23</v>
      </c>
      <c r="E1337" s="15" t="str">
        <f>B1337</f>
        <v>Ribavirin</v>
      </c>
      <c r="F1337" s="20">
        <f>DATE(2018,6,10)</f>
        <v>43261</v>
      </c>
      <c r="G1337" s="13">
        <v>1985</v>
      </c>
      <c r="H1337" s="13">
        <v>1</v>
      </c>
      <c r="I1337" s="15" t="s">
        <v>15</v>
      </c>
      <c r="J1337" s="15" t="s">
        <v>3119</v>
      </c>
    </row>
    <row r="1338" spans="1:35" s="14" customFormat="1" ht="12" customHeight="1" x14ac:dyDescent="0.25">
      <c r="A1338" s="9">
        <v>1336</v>
      </c>
      <c r="B1338" s="14" t="s">
        <v>3120</v>
      </c>
      <c r="C1338" s="14" t="s">
        <v>3121</v>
      </c>
      <c r="D1338" s="13" t="s">
        <v>14</v>
      </c>
      <c r="E1338" s="15" t="str">
        <f>B1338</f>
        <v>Ribocicib</v>
      </c>
      <c r="F1338" s="12">
        <f>DATE(2018,5,8)</f>
        <v>43228</v>
      </c>
      <c r="G1338" s="13">
        <v>2017</v>
      </c>
      <c r="H1338" s="13">
        <v>1</v>
      </c>
      <c r="I1338" s="15" t="s">
        <v>24</v>
      </c>
      <c r="J1338" s="15" t="s">
        <v>25</v>
      </c>
    </row>
    <row r="1339" spans="1:35" s="14" customFormat="1" ht="12" customHeight="1" x14ac:dyDescent="0.25">
      <c r="A1339" s="9">
        <v>1337</v>
      </c>
      <c r="B1339" s="14" t="s">
        <v>3122</v>
      </c>
      <c r="C1339" s="14" t="s">
        <v>2557</v>
      </c>
      <c r="D1339" s="13" t="s">
        <v>31</v>
      </c>
      <c r="E1339" s="15" t="s">
        <v>573</v>
      </c>
      <c r="F1339" s="20">
        <f>DATE(2021,5,23)</f>
        <v>44339</v>
      </c>
      <c r="G1339" s="13" t="s">
        <v>174</v>
      </c>
      <c r="H1339" s="13">
        <v>1</v>
      </c>
      <c r="I1339" s="15" t="s">
        <v>190</v>
      </c>
      <c r="J1339" s="15" t="s">
        <v>198</v>
      </c>
    </row>
    <row r="1340" spans="1:35" s="14" customFormat="1" ht="12" customHeight="1" x14ac:dyDescent="0.25">
      <c r="A1340" s="9">
        <v>1338</v>
      </c>
      <c r="B1340" s="14" t="s">
        <v>3123</v>
      </c>
      <c r="C1340" s="14" t="s">
        <v>3124</v>
      </c>
      <c r="D1340" s="13" t="s">
        <v>36</v>
      </c>
      <c r="E1340" s="15" t="str">
        <f t="shared" ref="E1340:E1347" si="33">B1340</f>
        <v>Rifabutin</v>
      </c>
      <c r="F1340" s="20">
        <f>DATE(2018,6,14)</f>
        <v>43265</v>
      </c>
      <c r="G1340" s="13">
        <v>1992</v>
      </c>
      <c r="H1340" s="13">
        <v>1</v>
      </c>
      <c r="I1340" s="15" t="s">
        <v>15</v>
      </c>
      <c r="J1340" s="15" t="s">
        <v>241</v>
      </c>
    </row>
    <row r="1341" spans="1:35" s="14" customFormat="1" ht="12" customHeight="1" x14ac:dyDescent="0.25">
      <c r="A1341" s="9">
        <v>1339</v>
      </c>
      <c r="B1341" s="14" t="s">
        <v>3125</v>
      </c>
      <c r="C1341" s="14" t="s">
        <v>3126</v>
      </c>
      <c r="D1341" s="13" t="s">
        <v>166</v>
      </c>
      <c r="E1341" s="15" t="str">
        <f t="shared" si="33"/>
        <v>Rifampin</v>
      </c>
      <c r="F1341" s="20">
        <f>DATE(2018,6,14)</f>
        <v>43265</v>
      </c>
      <c r="G1341" s="13">
        <v>1971</v>
      </c>
      <c r="H1341" s="13">
        <v>1</v>
      </c>
      <c r="I1341" s="15" t="s">
        <v>15</v>
      </c>
      <c r="J1341" s="15" t="s">
        <v>241</v>
      </c>
    </row>
    <row r="1342" spans="1:35" s="14" customFormat="1" ht="12" customHeight="1" x14ac:dyDescent="0.25">
      <c r="A1342" s="9">
        <v>1340</v>
      </c>
      <c r="B1342" s="14" t="s">
        <v>3127</v>
      </c>
      <c r="C1342" s="14" t="s">
        <v>3128</v>
      </c>
      <c r="D1342" s="13" t="s">
        <v>31</v>
      </c>
      <c r="E1342" s="15" t="str">
        <f t="shared" si="33"/>
        <v>Rifamycin</v>
      </c>
      <c r="F1342" s="20">
        <f>DATE(2019,2,9)</f>
        <v>43505</v>
      </c>
      <c r="G1342" s="13">
        <v>2018</v>
      </c>
      <c r="H1342" s="13">
        <v>1</v>
      </c>
      <c r="I1342" s="15" t="s">
        <v>182</v>
      </c>
      <c r="J1342" s="15" t="s">
        <v>3129</v>
      </c>
    </row>
    <row r="1343" spans="1:35" s="14" customFormat="1" ht="12" customHeight="1" x14ac:dyDescent="0.25">
      <c r="A1343" s="9">
        <v>1341</v>
      </c>
      <c r="B1343" s="14" t="s">
        <v>3130</v>
      </c>
      <c r="C1343" s="14" t="s">
        <v>3131</v>
      </c>
      <c r="D1343" s="13" t="s">
        <v>23</v>
      </c>
      <c r="E1343" s="15" t="str">
        <f t="shared" si="33"/>
        <v>Rifapentine</v>
      </c>
      <c r="F1343" s="20">
        <f>DATE(2018,6,14)</f>
        <v>43265</v>
      </c>
      <c r="G1343" s="13">
        <v>1998</v>
      </c>
      <c r="H1343" s="13">
        <v>1</v>
      </c>
      <c r="I1343" s="15" t="s">
        <v>15</v>
      </c>
      <c r="J1343" s="15" t="s">
        <v>241</v>
      </c>
    </row>
    <row r="1344" spans="1:35" s="14" customFormat="1" ht="12" customHeight="1" x14ac:dyDescent="0.25">
      <c r="A1344" s="9">
        <v>1342</v>
      </c>
      <c r="B1344" s="14" t="s">
        <v>3132</v>
      </c>
      <c r="C1344" s="14" t="s">
        <v>3133</v>
      </c>
      <c r="D1344" s="13" t="s">
        <v>31</v>
      </c>
      <c r="E1344" s="15" t="str">
        <f t="shared" si="33"/>
        <v>Rifaximin</v>
      </c>
      <c r="F1344" s="20">
        <f>DATE(2018,6,14)</f>
        <v>43265</v>
      </c>
      <c r="G1344" s="13">
        <v>2004</v>
      </c>
      <c r="H1344" s="13">
        <v>1</v>
      </c>
      <c r="I1344" s="15" t="s">
        <v>100</v>
      </c>
      <c r="J1344" s="15" t="s">
        <v>746</v>
      </c>
    </row>
    <row r="1345" spans="1:35" s="14" customFormat="1" ht="12" customHeight="1" x14ac:dyDescent="0.25">
      <c r="A1345" s="9">
        <v>1343</v>
      </c>
      <c r="B1345" s="14" t="s">
        <v>3134</v>
      </c>
      <c r="C1345" s="14" t="s">
        <v>3135</v>
      </c>
      <c r="D1345" s="13" t="s">
        <v>31</v>
      </c>
      <c r="E1345" s="15" t="str">
        <f t="shared" si="33"/>
        <v>Rilonacept</v>
      </c>
      <c r="F1345" s="20">
        <f>DATE(2020,4,26)</f>
        <v>43947</v>
      </c>
      <c r="G1345" s="13">
        <v>2010</v>
      </c>
      <c r="H1345" s="13">
        <v>1</v>
      </c>
      <c r="I1345" s="15" t="s">
        <v>19</v>
      </c>
      <c r="J1345" s="15" t="s">
        <v>3136</v>
      </c>
    </row>
    <row r="1346" spans="1:35" s="14" customFormat="1" ht="12" customHeight="1" x14ac:dyDescent="0.25">
      <c r="A1346" s="9">
        <v>1344</v>
      </c>
      <c r="B1346" s="14" t="s">
        <v>3137</v>
      </c>
      <c r="C1346" s="14" t="s">
        <v>3138</v>
      </c>
      <c r="D1346" s="13" t="s">
        <v>36</v>
      </c>
      <c r="E1346" s="15" t="str">
        <f t="shared" si="33"/>
        <v>Rilpivirine</v>
      </c>
      <c r="F1346" s="20">
        <f>DATE(2017,2,20)</f>
        <v>42786</v>
      </c>
      <c r="G1346" s="13">
        <v>2011</v>
      </c>
      <c r="H1346" s="13">
        <v>1</v>
      </c>
      <c r="I1346" s="15" t="s">
        <v>15</v>
      </c>
      <c r="J1346" s="15" t="s">
        <v>16</v>
      </c>
    </row>
    <row r="1347" spans="1:35" s="14" customFormat="1" ht="12" customHeight="1" x14ac:dyDescent="0.25">
      <c r="A1347" s="9">
        <v>1345</v>
      </c>
      <c r="B1347" s="14" t="s">
        <v>3139</v>
      </c>
      <c r="C1347" s="14" t="s">
        <v>3140</v>
      </c>
      <c r="D1347" s="13" t="s">
        <v>14</v>
      </c>
      <c r="E1347" s="15" t="str">
        <f t="shared" si="33"/>
        <v>Riluzole</v>
      </c>
      <c r="F1347" s="20">
        <f>DATE(2018,5,28)</f>
        <v>43248</v>
      </c>
      <c r="G1347" s="13">
        <v>1995</v>
      </c>
      <c r="H1347" s="13">
        <v>1</v>
      </c>
      <c r="I1347" s="15" t="s">
        <v>100</v>
      </c>
      <c r="J1347" s="15" t="s">
        <v>1357</v>
      </c>
    </row>
    <row r="1348" spans="1:35" s="14" customFormat="1" ht="12" customHeight="1" x14ac:dyDescent="0.3">
      <c r="A1348" s="9">
        <v>1346</v>
      </c>
      <c r="B1348" s="14" t="s">
        <v>3141</v>
      </c>
      <c r="C1348" s="14" t="s">
        <v>3142</v>
      </c>
      <c r="D1348" s="13" t="s">
        <v>77</v>
      </c>
      <c r="E1348" s="14" t="s">
        <v>3141</v>
      </c>
      <c r="F1348" s="13"/>
      <c r="G1348" s="13">
        <v>2025</v>
      </c>
      <c r="H1348" s="16">
        <v>0</v>
      </c>
      <c r="I1348" s="14" t="s">
        <v>230</v>
      </c>
      <c r="J1348" s="14" t="s">
        <v>3143</v>
      </c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</row>
    <row r="1349" spans="1:35" s="14" customFormat="1" ht="12" customHeight="1" x14ac:dyDescent="0.25">
      <c r="A1349" s="9">
        <v>1347</v>
      </c>
      <c r="B1349" s="14" t="s">
        <v>3144</v>
      </c>
      <c r="C1349" s="14" t="s">
        <v>3145</v>
      </c>
      <c r="D1349" s="13" t="s">
        <v>31</v>
      </c>
      <c r="E1349" s="15" t="str">
        <f>B1349</f>
        <v>Rimantadine</v>
      </c>
      <c r="F1349" s="20">
        <f>DATE(2020,6,22)</f>
        <v>44004</v>
      </c>
      <c r="G1349" s="13">
        <v>1993</v>
      </c>
      <c r="H1349" s="13">
        <v>1</v>
      </c>
      <c r="I1349" s="15" t="s">
        <v>15</v>
      </c>
      <c r="J1349" s="15" t="s">
        <v>2710</v>
      </c>
    </row>
    <row r="1350" spans="1:35" s="14" customFormat="1" ht="12" customHeight="1" x14ac:dyDescent="0.25">
      <c r="A1350" s="9">
        <v>1348</v>
      </c>
      <c r="B1350" s="14" t="s">
        <v>3146</v>
      </c>
      <c r="C1350" s="14" t="s">
        <v>3147</v>
      </c>
      <c r="D1350" s="13" t="s">
        <v>31</v>
      </c>
      <c r="E1350" s="15" t="str">
        <f>B1350</f>
        <v>Rimegepant</v>
      </c>
      <c r="F1350" s="20">
        <f>DATE(2025,1,12)</f>
        <v>45669</v>
      </c>
      <c r="G1350" s="13">
        <v>2020</v>
      </c>
      <c r="H1350" s="13">
        <v>1</v>
      </c>
      <c r="I1350" s="15" t="s">
        <v>100</v>
      </c>
      <c r="J1350" s="15" t="s">
        <v>3148</v>
      </c>
    </row>
    <row r="1351" spans="1:35" s="14" customFormat="1" ht="12" customHeight="1" x14ac:dyDescent="0.25">
      <c r="A1351" s="9">
        <v>1349</v>
      </c>
      <c r="B1351" s="14" t="s">
        <v>3149</v>
      </c>
      <c r="C1351" s="14" t="s">
        <v>3150</v>
      </c>
      <c r="D1351" s="13" t="s">
        <v>31</v>
      </c>
      <c r="E1351" s="15" t="str">
        <f>B1351</f>
        <v>Riociguat</v>
      </c>
      <c r="F1351" s="20">
        <f>DATE(2018,6,4)</f>
        <v>43255</v>
      </c>
      <c r="G1351" s="13">
        <v>2013</v>
      </c>
      <c r="H1351" s="13">
        <v>1</v>
      </c>
      <c r="I1351" s="15" t="s">
        <v>73</v>
      </c>
      <c r="J1351" s="15" t="s">
        <v>2236</v>
      </c>
    </row>
    <row r="1352" spans="1:35" s="14" customFormat="1" ht="12" customHeight="1" x14ac:dyDescent="0.25">
      <c r="A1352" s="9">
        <v>1350</v>
      </c>
      <c r="B1352" s="14" t="s">
        <v>3151</v>
      </c>
      <c r="C1352" s="14" t="s">
        <v>3152</v>
      </c>
      <c r="D1352" s="13" t="s">
        <v>31</v>
      </c>
      <c r="E1352" s="15" t="s">
        <v>3151</v>
      </c>
      <c r="F1352" s="20">
        <f>DATE(2023,10,10)</f>
        <v>45209</v>
      </c>
      <c r="G1352" s="16">
        <v>2020</v>
      </c>
      <c r="H1352" s="13">
        <v>1</v>
      </c>
      <c r="I1352" s="15" t="s">
        <v>24</v>
      </c>
      <c r="J1352" s="15" t="s">
        <v>3153</v>
      </c>
    </row>
    <row r="1353" spans="1:35" s="14" customFormat="1" ht="12" customHeight="1" x14ac:dyDescent="0.25">
      <c r="A1353" s="9">
        <v>1351</v>
      </c>
      <c r="B1353" s="14" t="s">
        <v>3154</v>
      </c>
      <c r="C1353" s="14" t="s">
        <v>3155</v>
      </c>
      <c r="D1353" s="13" t="s">
        <v>31</v>
      </c>
      <c r="E1353" s="15" t="str">
        <f>B1353</f>
        <v>Risankizumab</v>
      </c>
      <c r="F1353" s="20">
        <f>DATE(2021,6,9)</f>
        <v>44356</v>
      </c>
      <c r="G1353" s="13">
        <v>2019</v>
      </c>
      <c r="H1353" s="13">
        <v>1</v>
      </c>
      <c r="I1353" s="15" t="s">
        <v>32</v>
      </c>
      <c r="J1353" s="15" t="s">
        <v>70</v>
      </c>
    </row>
    <row r="1354" spans="1:35" s="14" customFormat="1" ht="12" customHeight="1" x14ac:dyDescent="0.25">
      <c r="A1354" s="9">
        <v>1352</v>
      </c>
      <c r="B1354" s="14" t="s">
        <v>3156</v>
      </c>
      <c r="C1354" s="14" t="s">
        <v>3157</v>
      </c>
      <c r="D1354" s="13" t="s">
        <v>31</v>
      </c>
      <c r="E1354" s="15" t="s">
        <v>3156</v>
      </c>
      <c r="F1354" s="12">
        <f>DATE(2024,6,20)</f>
        <v>45463</v>
      </c>
      <c r="G1354" s="16">
        <v>2020</v>
      </c>
      <c r="H1354" s="13">
        <v>1</v>
      </c>
      <c r="I1354" s="15" t="s">
        <v>104</v>
      </c>
      <c r="J1354" s="15" t="s">
        <v>3158</v>
      </c>
    </row>
    <row r="1355" spans="1:35" s="14" customFormat="1" ht="12" customHeight="1" x14ac:dyDescent="0.25">
      <c r="A1355" s="9">
        <v>1353</v>
      </c>
      <c r="B1355" s="14" t="s">
        <v>3159</v>
      </c>
      <c r="C1355" s="14" t="s">
        <v>3160</v>
      </c>
      <c r="D1355" s="13" t="s">
        <v>36</v>
      </c>
      <c r="E1355" s="15" t="s">
        <v>143</v>
      </c>
      <c r="F1355" s="12">
        <f>DATE(2018,6,15)</f>
        <v>43266</v>
      </c>
      <c r="G1355" s="13">
        <v>1998</v>
      </c>
      <c r="H1355" s="13">
        <v>1</v>
      </c>
      <c r="I1355" s="15" t="s">
        <v>45</v>
      </c>
      <c r="J1355" s="15" t="s">
        <v>144</v>
      </c>
    </row>
    <row r="1356" spans="1:35" s="14" customFormat="1" ht="12" customHeight="1" x14ac:dyDescent="0.25">
      <c r="A1356" s="9">
        <v>1354</v>
      </c>
      <c r="B1356" s="14" t="s">
        <v>3161</v>
      </c>
      <c r="C1356" s="14" t="s">
        <v>3162</v>
      </c>
      <c r="D1356" s="13" t="s">
        <v>44</v>
      </c>
      <c r="E1356" s="15" t="str">
        <f>B1356</f>
        <v>Risperidone</v>
      </c>
      <c r="F1356" s="20">
        <f>DATE(2023,6,5)</f>
        <v>45082</v>
      </c>
      <c r="G1356" s="13">
        <v>1993</v>
      </c>
      <c r="H1356" s="13">
        <v>1</v>
      </c>
      <c r="I1356" s="15" t="s">
        <v>100</v>
      </c>
      <c r="J1356" s="15" t="s">
        <v>328</v>
      </c>
    </row>
    <row r="1357" spans="1:35" s="14" customFormat="1" ht="12" customHeight="1" x14ac:dyDescent="0.25">
      <c r="A1357" s="9">
        <v>1355</v>
      </c>
      <c r="B1357" s="14" t="s">
        <v>3163</v>
      </c>
      <c r="C1357" s="14" t="s">
        <v>3164</v>
      </c>
      <c r="D1357" s="13" t="s">
        <v>23</v>
      </c>
      <c r="E1357" s="14" t="s">
        <v>3163</v>
      </c>
      <c r="F1357" s="20">
        <f>DATE(2024,3,26)</f>
        <v>45377</v>
      </c>
      <c r="G1357" s="13">
        <v>2023</v>
      </c>
      <c r="H1357" s="13">
        <v>1</v>
      </c>
      <c r="I1357" s="15" t="s">
        <v>32</v>
      </c>
      <c r="J1357" s="15" t="s">
        <v>1181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</row>
    <row r="1358" spans="1:35" s="14" customFormat="1" ht="12" customHeight="1" x14ac:dyDescent="0.25">
      <c r="A1358" s="9">
        <v>1356</v>
      </c>
      <c r="B1358" s="14" t="s">
        <v>3165</v>
      </c>
      <c r="C1358" s="14" t="s">
        <v>3166</v>
      </c>
      <c r="D1358" s="13" t="s">
        <v>14</v>
      </c>
      <c r="E1358" s="15" t="str">
        <f>B1358</f>
        <v>Ritonavir</v>
      </c>
      <c r="F1358" s="20">
        <f>DATE(2017,9,1)</f>
        <v>42979</v>
      </c>
      <c r="G1358" s="13">
        <v>1996</v>
      </c>
      <c r="H1358" s="13">
        <v>1</v>
      </c>
      <c r="I1358" s="15" t="s">
        <v>15</v>
      </c>
      <c r="J1358" s="15" t="s">
        <v>16</v>
      </c>
    </row>
    <row r="1359" spans="1:35" s="14" customFormat="1" ht="12" customHeight="1" x14ac:dyDescent="0.25">
      <c r="A1359" s="9">
        <v>1357</v>
      </c>
      <c r="B1359" s="14" t="s">
        <v>3167</v>
      </c>
      <c r="C1359" s="14" t="s">
        <v>3168</v>
      </c>
      <c r="D1359" s="13" t="s">
        <v>166</v>
      </c>
      <c r="E1359" s="15" t="str">
        <f>B1359</f>
        <v>Rituximab</v>
      </c>
      <c r="F1359" s="20">
        <f>DATE(2018,6,19)</f>
        <v>43270</v>
      </c>
      <c r="G1359" s="13">
        <v>1997</v>
      </c>
      <c r="H1359" s="13">
        <v>1</v>
      </c>
      <c r="I1359" s="15" t="s">
        <v>24</v>
      </c>
      <c r="J1359" s="15" t="s">
        <v>596</v>
      </c>
    </row>
    <row r="1360" spans="1:35" s="14" customFormat="1" ht="12" customHeight="1" x14ac:dyDescent="0.25">
      <c r="A1360" s="9">
        <v>1358</v>
      </c>
      <c r="B1360" s="14" t="s">
        <v>3169</v>
      </c>
      <c r="C1360" s="14" t="s">
        <v>3170</v>
      </c>
      <c r="D1360" s="13" t="s">
        <v>166</v>
      </c>
      <c r="E1360" s="15" t="str">
        <f>B1360</f>
        <v>Rivaroxaban</v>
      </c>
      <c r="F1360" s="20">
        <f>DATE(2023,2,16)</f>
        <v>44973</v>
      </c>
      <c r="G1360" s="13">
        <v>2011</v>
      </c>
      <c r="H1360" s="13">
        <v>1</v>
      </c>
      <c r="I1360" s="15" t="s">
        <v>230</v>
      </c>
      <c r="J1360" s="15" t="s">
        <v>308</v>
      </c>
    </row>
    <row r="1361" spans="1:35" s="14" customFormat="1" ht="12" customHeight="1" x14ac:dyDescent="0.25">
      <c r="A1361" s="9">
        <v>1359</v>
      </c>
      <c r="B1361" s="10" t="s">
        <v>3171</v>
      </c>
      <c r="C1361" s="10" t="s">
        <v>3172</v>
      </c>
      <c r="D1361" s="9" t="s">
        <v>36</v>
      </c>
      <c r="E1361" s="15" t="str">
        <f>B1361</f>
        <v>Rivastigmine</v>
      </c>
      <c r="F1361" s="20">
        <f>DATE(2018,6,4)</f>
        <v>43255</v>
      </c>
      <c r="G1361" s="9">
        <v>2007</v>
      </c>
      <c r="H1361" s="9">
        <v>1</v>
      </c>
      <c r="I1361" s="11" t="s">
        <v>100</v>
      </c>
      <c r="J1361" s="11" t="s">
        <v>101</v>
      </c>
    </row>
    <row r="1362" spans="1:35" s="14" customFormat="1" ht="12" customHeight="1" x14ac:dyDescent="0.25">
      <c r="A1362" s="9">
        <v>1360</v>
      </c>
      <c r="B1362" s="14" t="s">
        <v>3173</v>
      </c>
      <c r="C1362" s="14" t="s">
        <v>3174</v>
      </c>
      <c r="D1362" s="13" t="s">
        <v>23</v>
      </c>
      <c r="E1362" s="15" t="s">
        <v>170</v>
      </c>
      <c r="F1362" s="20">
        <f>DATE(2018,2,10)</f>
        <v>43141</v>
      </c>
      <c r="G1362" s="13">
        <v>1998</v>
      </c>
      <c r="H1362" s="13">
        <v>1</v>
      </c>
      <c r="I1362" s="15" t="s">
        <v>100</v>
      </c>
      <c r="J1362" s="15" t="s">
        <v>171</v>
      </c>
    </row>
    <row r="1363" spans="1:35" s="14" customFormat="1" ht="12" customHeight="1" x14ac:dyDescent="0.25">
      <c r="A1363" s="9">
        <v>1361</v>
      </c>
      <c r="B1363" s="14" t="s">
        <v>3175</v>
      </c>
      <c r="C1363" s="14" t="s">
        <v>3176</v>
      </c>
      <c r="D1363" s="13" t="s">
        <v>14</v>
      </c>
      <c r="E1363" s="15" t="str">
        <f>B1363</f>
        <v>Rofecoxib</v>
      </c>
      <c r="F1363" s="12">
        <f>DATE(2020,3,20)</f>
        <v>43910</v>
      </c>
      <c r="G1363" s="13">
        <v>1999</v>
      </c>
      <c r="H1363" s="13">
        <v>1</v>
      </c>
      <c r="I1363" s="11" t="s">
        <v>54</v>
      </c>
      <c r="J1363" s="15" t="s">
        <v>55</v>
      </c>
    </row>
    <row r="1364" spans="1:35" s="14" customFormat="1" ht="12" customHeight="1" x14ac:dyDescent="0.25">
      <c r="A1364" s="9">
        <v>1362</v>
      </c>
      <c r="B1364" s="14" t="s">
        <v>3177</v>
      </c>
      <c r="C1364" s="14" t="s">
        <v>3178</v>
      </c>
      <c r="D1364" s="13" t="s">
        <v>31</v>
      </c>
      <c r="E1364" s="11" t="str">
        <f>B1364</f>
        <v>Roflumilast</v>
      </c>
      <c r="F1364" s="20">
        <f>DATE(2018,6,4)</f>
        <v>43255</v>
      </c>
      <c r="G1364" s="13">
        <v>2011</v>
      </c>
      <c r="H1364" s="13">
        <v>1</v>
      </c>
      <c r="I1364" s="15" t="s">
        <v>73</v>
      </c>
      <c r="J1364" s="15" t="s">
        <v>128</v>
      </c>
    </row>
    <row r="1365" spans="1:35" s="14" customFormat="1" ht="12" customHeight="1" x14ac:dyDescent="0.25">
      <c r="A1365" s="9">
        <v>1363</v>
      </c>
      <c r="B1365" s="14" t="s">
        <v>3179</v>
      </c>
      <c r="C1365" s="14" t="s">
        <v>3180</v>
      </c>
      <c r="D1365" s="13" t="s">
        <v>31</v>
      </c>
      <c r="E1365" s="11" t="str">
        <f>B1365</f>
        <v>Rolapitant</v>
      </c>
      <c r="F1365" s="20">
        <f>DATE(2024,2,28)</f>
        <v>45350</v>
      </c>
      <c r="G1365" s="13">
        <v>2015</v>
      </c>
      <c r="H1365" s="13">
        <v>1</v>
      </c>
      <c r="I1365" s="15" t="s">
        <v>182</v>
      </c>
      <c r="J1365" s="15" t="s">
        <v>318</v>
      </c>
    </row>
    <row r="1366" spans="1:35" s="14" customFormat="1" ht="12" customHeight="1" x14ac:dyDescent="0.25">
      <c r="A1366" s="9">
        <v>1364</v>
      </c>
      <c r="B1366" s="14" t="s">
        <v>3181</v>
      </c>
      <c r="C1366" s="14" t="s">
        <v>3182</v>
      </c>
      <c r="D1366" s="13" t="s">
        <v>14</v>
      </c>
      <c r="E1366" s="11" t="str">
        <f>B1366</f>
        <v>Romidepsin</v>
      </c>
      <c r="F1366" s="12">
        <f>DATE(2020,9,25)</f>
        <v>44099</v>
      </c>
      <c r="G1366" s="13">
        <v>2009</v>
      </c>
      <c r="H1366" s="13">
        <v>1</v>
      </c>
      <c r="I1366" s="15" t="s">
        <v>24</v>
      </c>
      <c r="J1366" s="15" t="s">
        <v>2997</v>
      </c>
    </row>
    <row r="1367" spans="1:35" s="14" customFormat="1" ht="12" customHeight="1" x14ac:dyDescent="0.25">
      <c r="A1367" s="9">
        <v>1365</v>
      </c>
      <c r="B1367" s="14" t="s">
        <v>3183</v>
      </c>
      <c r="C1367" s="14" t="s">
        <v>3184</v>
      </c>
      <c r="D1367" s="13" t="s">
        <v>31</v>
      </c>
      <c r="E1367" s="11" t="s">
        <v>420</v>
      </c>
      <c r="F1367" s="20">
        <f>DATE(2018,2,10)</f>
        <v>43141</v>
      </c>
      <c r="G1367" s="13">
        <v>2008</v>
      </c>
      <c r="H1367" s="13">
        <v>1</v>
      </c>
      <c r="I1367" s="15" t="s">
        <v>230</v>
      </c>
      <c r="J1367" s="15" t="s">
        <v>421</v>
      </c>
    </row>
    <row r="1368" spans="1:35" s="14" customFormat="1" ht="12" customHeight="1" x14ac:dyDescent="0.25">
      <c r="A1368" s="9">
        <v>1366</v>
      </c>
      <c r="B1368" s="14" t="s">
        <v>3185</v>
      </c>
      <c r="C1368" s="14" t="s">
        <v>3186</v>
      </c>
      <c r="D1368" s="13" t="s">
        <v>31</v>
      </c>
      <c r="E1368" s="11" t="str">
        <f>B1368</f>
        <v>Romosozumab</v>
      </c>
      <c r="F1368" s="20">
        <f>DATE(2021,6,7)</f>
        <v>44354</v>
      </c>
      <c r="G1368" s="13">
        <v>2019</v>
      </c>
      <c r="H1368" s="13">
        <v>1</v>
      </c>
      <c r="I1368" s="15" t="s">
        <v>19</v>
      </c>
      <c r="J1368" s="15" t="s">
        <v>144</v>
      </c>
    </row>
    <row r="1369" spans="1:35" s="14" customFormat="1" ht="12" customHeight="1" x14ac:dyDescent="0.25">
      <c r="A1369" s="9">
        <v>1367</v>
      </c>
      <c r="B1369" s="14" t="s">
        <v>3187</v>
      </c>
      <c r="C1369" s="14" t="s">
        <v>3188</v>
      </c>
      <c r="D1369" s="13" t="s">
        <v>36</v>
      </c>
      <c r="E1369" s="11" t="str">
        <f>B1369</f>
        <v>Ropinirole</v>
      </c>
      <c r="F1369" s="12">
        <f>DATE(2017,7,21)</f>
        <v>42937</v>
      </c>
      <c r="G1369" s="13">
        <v>1997</v>
      </c>
      <c r="H1369" s="13">
        <v>1</v>
      </c>
      <c r="I1369" s="15" t="s">
        <v>100</v>
      </c>
      <c r="J1369" s="15" t="s">
        <v>210</v>
      </c>
    </row>
    <row r="1370" spans="1:35" s="14" customFormat="1" ht="12" customHeight="1" x14ac:dyDescent="0.25">
      <c r="A1370" s="9">
        <v>1368</v>
      </c>
      <c r="B1370" s="14" t="s">
        <v>3189</v>
      </c>
      <c r="C1370" s="14" t="s">
        <v>3190</v>
      </c>
      <c r="D1370" s="13" t="s">
        <v>31</v>
      </c>
      <c r="E1370" s="11" t="s">
        <v>339</v>
      </c>
      <c r="F1370" s="12">
        <f>DATE(2017,1,25)</f>
        <v>42760</v>
      </c>
      <c r="G1370" s="13">
        <v>1990</v>
      </c>
      <c r="H1370" s="13">
        <v>1</v>
      </c>
      <c r="I1370" s="15" t="s">
        <v>100</v>
      </c>
      <c r="J1370" s="15" t="s">
        <v>340</v>
      </c>
    </row>
    <row r="1371" spans="1:35" s="9" customFormat="1" ht="12" customHeight="1" x14ac:dyDescent="0.25">
      <c r="A1371" s="9">
        <v>1369</v>
      </c>
      <c r="B1371" s="10" t="s">
        <v>3191</v>
      </c>
      <c r="C1371" s="10" t="s">
        <v>3192</v>
      </c>
      <c r="D1371" s="9" t="s">
        <v>14</v>
      </c>
      <c r="E1371" s="11" t="str">
        <f>B1371</f>
        <v>Rosiglitazone</v>
      </c>
      <c r="F1371" s="12">
        <f>DATE(2018,6,4)</f>
        <v>43255</v>
      </c>
      <c r="G1371" s="9">
        <v>1999</v>
      </c>
      <c r="H1371" s="9">
        <v>1</v>
      </c>
      <c r="I1371" s="11" t="s">
        <v>45</v>
      </c>
      <c r="J1371" s="11" t="s">
        <v>46</v>
      </c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</row>
    <row r="1372" spans="1:35" s="9" customFormat="1" ht="12" customHeight="1" x14ac:dyDescent="0.25">
      <c r="A1372" s="9">
        <v>1370</v>
      </c>
      <c r="B1372" s="10" t="s">
        <v>3193</v>
      </c>
      <c r="C1372" s="10" t="s">
        <v>3194</v>
      </c>
      <c r="D1372" s="9" t="s">
        <v>166</v>
      </c>
      <c r="E1372" s="11" t="str">
        <f>B1372</f>
        <v>Rosuvastatin</v>
      </c>
      <c r="F1372" s="12">
        <f>DATE(2025,3,20)</f>
        <v>45736</v>
      </c>
      <c r="G1372" s="9">
        <v>2003</v>
      </c>
      <c r="H1372" s="9">
        <v>1</v>
      </c>
      <c r="I1372" s="11" t="s">
        <v>49</v>
      </c>
      <c r="J1372" s="11" t="s">
        <v>161</v>
      </c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</row>
    <row r="1373" spans="1:35" s="9" customFormat="1" ht="12" customHeight="1" x14ac:dyDescent="0.25">
      <c r="A1373" s="9">
        <v>1371</v>
      </c>
      <c r="B1373" s="10" t="s">
        <v>3195</v>
      </c>
      <c r="C1373" s="10" t="s">
        <v>3196</v>
      </c>
      <c r="D1373" s="9" t="s">
        <v>31</v>
      </c>
      <c r="E1373" s="11" t="str">
        <f>B1373</f>
        <v>Rotigotine</v>
      </c>
      <c r="F1373" s="12">
        <f>DATE(2017,7,21)</f>
        <v>42937</v>
      </c>
      <c r="G1373" s="9">
        <v>2007</v>
      </c>
      <c r="H1373" s="9">
        <v>1</v>
      </c>
      <c r="I1373" s="11" t="s">
        <v>100</v>
      </c>
      <c r="J1373" s="11" t="s">
        <v>210</v>
      </c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</row>
    <row r="1374" spans="1:35" s="9" customFormat="1" ht="12" customHeight="1" x14ac:dyDescent="0.25">
      <c r="A1374" s="9">
        <v>1372</v>
      </c>
      <c r="B1374" s="10" t="s">
        <v>3197</v>
      </c>
      <c r="C1374" s="10" t="s">
        <v>188</v>
      </c>
      <c r="D1374" s="9" t="s">
        <v>31</v>
      </c>
      <c r="E1374" s="11" t="s">
        <v>3197</v>
      </c>
      <c r="F1374" s="12">
        <f>DATE(2022,5,1)</f>
        <v>44682</v>
      </c>
      <c r="G1374" s="9" t="s">
        <v>174</v>
      </c>
      <c r="H1374" s="9">
        <v>1</v>
      </c>
      <c r="I1374" s="11" t="s">
        <v>190</v>
      </c>
      <c r="J1374" s="11" t="s">
        <v>363</v>
      </c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</row>
    <row r="1375" spans="1:35" s="9" customFormat="1" ht="12" customHeight="1" x14ac:dyDescent="0.25">
      <c r="A1375" s="9">
        <v>1373</v>
      </c>
      <c r="B1375" s="10" t="s">
        <v>3198</v>
      </c>
      <c r="C1375" s="10" t="s">
        <v>3199</v>
      </c>
      <c r="D1375" s="9" t="s">
        <v>77</v>
      </c>
      <c r="E1375" s="10" t="s">
        <v>3198</v>
      </c>
      <c r="F1375" s="12"/>
      <c r="G1375" s="9">
        <v>2023</v>
      </c>
      <c r="H1375" s="9">
        <v>0</v>
      </c>
      <c r="I1375" s="11" t="s">
        <v>100</v>
      </c>
      <c r="J1375" s="11" t="s">
        <v>1369</v>
      </c>
    </row>
    <row r="1376" spans="1:35" s="14" customFormat="1" ht="12" customHeight="1" x14ac:dyDescent="0.25">
      <c r="A1376" s="9">
        <v>1374</v>
      </c>
      <c r="B1376" s="14" t="s">
        <v>3200</v>
      </c>
      <c r="C1376" s="14" t="s">
        <v>3201</v>
      </c>
      <c r="D1376" s="9" t="s">
        <v>23</v>
      </c>
      <c r="E1376" s="11" t="str">
        <f>B1376</f>
        <v>Rucaparib</v>
      </c>
      <c r="F1376" s="12">
        <f>DATE(2017,3,8)</f>
        <v>42802</v>
      </c>
      <c r="G1376" s="9">
        <v>2016</v>
      </c>
      <c r="H1376" s="9">
        <v>1</v>
      </c>
      <c r="I1376" s="11" t="s">
        <v>24</v>
      </c>
      <c r="J1376" s="11" t="s">
        <v>2584</v>
      </c>
    </row>
    <row r="1377" spans="1:35" s="14" customFormat="1" ht="12" customHeight="1" x14ac:dyDescent="0.25">
      <c r="A1377" s="9">
        <v>1375</v>
      </c>
      <c r="B1377" s="14" t="s">
        <v>3202</v>
      </c>
      <c r="C1377" s="14" t="s">
        <v>3203</v>
      </c>
      <c r="D1377" s="13" t="s">
        <v>23</v>
      </c>
      <c r="E1377" s="15" t="str">
        <f>B1377</f>
        <v>Rufinamide</v>
      </c>
      <c r="F1377" s="12">
        <f>DATE(2018,6,4)</f>
        <v>43255</v>
      </c>
      <c r="G1377" s="13">
        <v>2008</v>
      </c>
      <c r="H1377" s="13">
        <v>1</v>
      </c>
      <c r="I1377" s="15" t="s">
        <v>100</v>
      </c>
      <c r="J1377" s="15" t="s">
        <v>630</v>
      </c>
    </row>
    <row r="1378" spans="1:35" s="14" customFormat="1" ht="12" customHeight="1" x14ac:dyDescent="0.25">
      <c r="A1378" s="9">
        <v>1376</v>
      </c>
      <c r="B1378" s="14" t="s">
        <v>3204</v>
      </c>
      <c r="C1378" s="14" t="s">
        <v>3205</v>
      </c>
      <c r="D1378" s="13" t="s">
        <v>14</v>
      </c>
      <c r="E1378" s="15" t="str">
        <f>B1378</f>
        <v>Ruxolitinib</v>
      </c>
      <c r="F1378" s="12">
        <f>DATE(2022,8,30)</f>
        <v>44803</v>
      </c>
      <c r="G1378" s="13">
        <v>2011</v>
      </c>
      <c r="H1378" s="13">
        <v>1</v>
      </c>
      <c r="I1378" s="15" t="s">
        <v>24</v>
      </c>
      <c r="J1378" s="15" t="s">
        <v>504</v>
      </c>
    </row>
    <row r="1379" spans="1:35" s="14" customFormat="1" ht="12" customHeight="1" x14ac:dyDescent="0.25">
      <c r="A1379" s="9">
        <v>1377</v>
      </c>
      <c r="B1379" s="14" t="s">
        <v>3206</v>
      </c>
      <c r="C1379" s="14" t="s">
        <v>3207</v>
      </c>
      <c r="D1379" s="13" t="s">
        <v>23</v>
      </c>
      <c r="E1379" s="15" t="s">
        <v>3206</v>
      </c>
      <c r="F1379" s="20">
        <f>DATE(2023,11,15)</f>
        <v>45245</v>
      </c>
      <c r="G1379" s="16">
        <v>2020</v>
      </c>
      <c r="H1379" s="13">
        <v>1</v>
      </c>
      <c r="I1379" s="15" t="s">
        <v>24</v>
      </c>
      <c r="J1379" s="15" t="s">
        <v>25</v>
      </c>
    </row>
    <row r="1380" spans="1:35" s="14" customFormat="1" x14ac:dyDescent="0.25">
      <c r="A1380" s="9">
        <v>1378</v>
      </c>
      <c r="B1380" s="15" t="s">
        <v>3208</v>
      </c>
      <c r="C1380" s="15" t="s">
        <v>3209</v>
      </c>
      <c r="D1380" s="13" t="s">
        <v>36</v>
      </c>
      <c r="E1380" s="15" t="s">
        <v>3208</v>
      </c>
      <c r="F1380" s="20">
        <f>DATE(2024,7,9)</f>
        <v>45482</v>
      </c>
      <c r="G1380" s="13">
        <v>2015</v>
      </c>
      <c r="H1380" s="13">
        <v>1</v>
      </c>
      <c r="I1380" s="15" t="s">
        <v>49</v>
      </c>
      <c r="J1380" s="15" t="s">
        <v>3210</v>
      </c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</row>
    <row r="1381" spans="1:35" s="14" customFormat="1" x14ac:dyDescent="0.25">
      <c r="A1381" s="9">
        <v>1379</v>
      </c>
      <c r="B1381" s="14" t="s">
        <v>3211</v>
      </c>
      <c r="C1381" s="14" t="s">
        <v>3212</v>
      </c>
      <c r="D1381" s="13" t="s">
        <v>31</v>
      </c>
      <c r="E1381" s="15"/>
      <c r="F1381" s="20"/>
      <c r="G1381" s="13" t="s">
        <v>174</v>
      </c>
      <c r="H1381" s="13">
        <v>0</v>
      </c>
      <c r="I1381" s="15" t="s">
        <v>190</v>
      </c>
      <c r="J1381" s="15" t="s">
        <v>67</v>
      </c>
    </row>
    <row r="1382" spans="1:35" s="14" customFormat="1" x14ac:dyDescent="0.25">
      <c r="A1382" s="9">
        <v>1380</v>
      </c>
      <c r="B1382" s="14" t="s">
        <v>3213</v>
      </c>
      <c r="C1382" s="14" t="s">
        <v>3214</v>
      </c>
      <c r="D1382" s="13" t="s">
        <v>31</v>
      </c>
      <c r="E1382" s="15" t="str">
        <f>B1382</f>
        <v>Safinamide</v>
      </c>
      <c r="F1382" s="12">
        <f>DATE(2019,3,8)</f>
        <v>43532</v>
      </c>
      <c r="G1382" s="9">
        <v>2017</v>
      </c>
      <c r="H1382" s="13">
        <v>1</v>
      </c>
      <c r="I1382" s="15" t="s">
        <v>100</v>
      </c>
      <c r="J1382" s="15" t="s">
        <v>3215</v>
      </c>
    </row>
    <row r="1383" spans="1:35" s="14" customFormat="1" ht="12" customHeight="1" x14ac:dyDescent="0.25">
      <c r="A1383" s="9">
        <v>1381</v>
      </c>
      <c r="B1383" s="14" t="s">
        <v>3216</v>
      </c>
      <c r="C1383" s="14" t="s">
        <v>3217</v>
      </c>
      <c r="D1383" s="13" t="s">
        <v>31</v>
      </c>
      <c r="E1383" s="15" t="s">
        <v>127</v>
      </c>
      <c r="F1383" s="12">
        <f>DATE(2017,9,11)</f>
        <v>42989</v>
      </c>
      <c r="G1383" s="9">
        <v>1982</v>
      </c>
      <c r="H1383" s="13">
        <v>1</v>
      </c>
      <c r="I1383" s="15" t="s">
        <v>73</v>
      </c>
      <c r="J1383" s="15" t="s">
        <v>74</v>
      </c>
    </row>
    <row r="1384" spans="1:35" s="14" customFormat="1" x14ac:dyDescent="0.25">
      <c r="A1384" s="9">
        <v>1382</v>
      </c>
      <c r="B1384" s="14" t="s">
        <v>3218</v>
      </c>
      <c r="C1384" s="14" t="s">
        <v>3219</v>
      </c>
      <c r="D1384" s="13" t="s">
        <v>31</v>
      </c>
      <c r="E1384" s="15" t="s">
        <v>127</v>
      </c>
      <c r="F1384" s="20">
        <f>DATE(2017,9,10)</f>
        <v>42988</v>
      </c>
      <c r="G1384" s="13">
        <v>1994</v>
      </c>
      <c r="H1384" s="13">
        <v>1</v>
      </c>
      <c r="I1384" s="15" t="s">
        <v>73</v>
      </c>
      <c r="J1384" s="15" t="s">
        <v>74</v>
      </c>
    </row>
    <row r="1385" spans="1:35" s="14" customFormat="1" x14ac:dyDescent="0.25">
      <c r="A1385" s="9">
        <v>1383</v>
      </c>
      <c r="B1385" s="14" t="s">
        <v>3220</v>
      </c>
      <c r="C1385" s="14" t="s">
        <v>3221</v>
      </c>
      <c r="D1385" s="13" t="s">
        <v>53</v>
      </c>
      <c r="E1385" s="15" t="str">
        <f>B1385</f>
        <v>Salsalate</v>
      </c>
      <c r="F1385" s="20">
        <f>DATE(2020,8,18)</f>
        <v>44061</v>
      </c>
      <c r="G1385" s="13" t="s">
        <v>174</v>
      </c>
      <c r="H1385" s="13">
        <v>1</v>
      </c>
      <c r="I1385" s="15" t="s">
        <v>54</v>
      </c>
      <c r="J1385" s="15" t="s">
        <v>55</v>
      </c>
    </row>
    <row r="1386" spans="1:35" s="14" customFormat="1" x14ac:dyDescent="0.25">
      <c r="A1386" s="9">
        <v>1384</v>
      </c>
      <c r="B1386" s="14" t="s">
        <v>3222</v>
      </c>
      <c r="C1386" s="14" t="s">
        <v>3223</v>
      </c>
      <c r="D1386" s="13" t="s">
        <v>36</v>
      </c>
      <c r="E1386" s="15" t="str">
        <f>B1386</f>
        <v>Saquinavir</v>
      </c>
      <c r="F1386" s="20">
        <f>DATE(2017,9,1)</f>
        <v>42979</v>
      </c>
      <c r="G1386" s="13">
        <v>1997</v>
      </c>
      <c r="H1386" s="13">
        <v>1</v>
      </c>
      <c r="I1386" s="15" t="s">
        <v>15</v>
      </c>
      <c r="J1386" s="15" t="s">
        <v>16</v>
      </c>
    </row>
    <row r="1387" spans="1:35" s="14" customFormat="1" ht="12" x14ac:dyDescent="0.3">
      <c r="A1387" s="9">
        <v>1385</v>
      </c>
      <c r="B1387" s="14" t="s">
        <v>3224</v>
      </c>
      <c r="C1387" s="23" t="s">
        <v>3225</v>
      </c>
      <c r="D1387" s="13" t="s">
        <v>23</v>
      </c>
      <c r="E1387" s="15" t="str">
        <f>B1387</f>
        <v>Sarecycline</v>
      </c>
      <c r="F1387" s="20">
        <f>DATE(2019,1,24)</f>
        <v>43489</v>
      </c>
      <c r="G1387" s="13">
        <v>2018</v>
      </c>
      <c r="H1387" s="13">
        <v>1</v>
      </c>
      <c r="I1387" s="15" t="s">
        <v>15</v>
      </c>
      <c r="J1387" s="15" t="s">
        <v>1995</v>
      </c>
    </row>
    <row r="1388" spans="1:35" s="14" customFormat="1" x14ac:dyDescent="0.25">
      <c r="A1388" s="9">
        <v>1386</v>
      </c>
      <c r="B1388" s="14" t="s">
        <v>3226</v>
      </c>
      <c r="C1388" s="14" t="s">
        <v>3227</v>
      </c>
      <c r="D1388" s="13" t="s">
        <v>31</v>
      </c>
      <c r="E1388" s="15" t="s">
        <v>1375</v>
      </c>
      <c r="F1388" s="20">
        <f>DATE(2017,7,30)</f>
        <v>42946</v>
      </c>
      <c r="G1388" s="13">
        <v>1991</v>
      </c>
      <c r="H1388" s="13">
        <v>1</v>
      </c>
      <c r="I1388" s="15" t="s">
        <v>230</v>
      </c>
      <c r="J1388" s="15" t="s">
        <v>1624</v>
      </c>
    </row>
    <row r="1389" spans="1:35" s="14" customFormat="1" ht="12" customHeight="1" x14ac:dyDescent="0.25">
      <c r="A1389" s="9">
        <v>1387</v>
      </c>
      <c r="B1389" s="14" t="s">
        <v>3228</v>
      </c>
      <c r="C1389" s="14" t="s">
        <v>3229</v>
      </c>
      <c r="D1389" s="9" t="s">
        <v>23</v>
      </c>
      <c r="E1389" s="15" t="str">
        <f>B1389</f>
        <v>Sarilumab</v>
      </c>
      <c r="F1389" s="12">
        <f>DATE(2021,5,5)</f>
        <v>44321</v>
      </c>
      <c r="G1389" s="9">
        <v>2017</v>
      </c>
      <c r="H1389" s="13">
        <v>1</v>
      </c>
      <c r="I1389" s="15" t="s">
        <v>19</v>
      </c>
      <c r="J1389" s="15" t="s">
        <v>3230</v>
      </c>
    </row>
    <row r="1390" spans="1:35" s="14" customFormat="1" ht="12" customHeight="1" x14ac:dyDescent="0.25">
      <c r="A1390" s="9">
        <v>1388</v>
      </c>
      <c r="B1390" s="15" t="s">
        <v>3231</v>
      </c>
      <c r="C1390" s="15" t="s">
        <v>3231</v>
      </c>
      <c r="D1390" s="9" t="s">
        <v>44</v>
      </c>
      <c r="E1390" s="14" t="s">
        <v>287</v>
      </c>
      <c r="F1390" s="12">
        <f>DATE(2025,9,20)</f>
        <v>45920</v>
      </c>
      <c r="G1390" s="9" t="s">
        <v>174</v>
      </c>
      <c r="H1390" s="13">
        <v>1</v>
      </c>
      <c r="I1390" s="15" t="s">
        <v>45</v>
      </c>
      <c r="J1390" s="13" t="s">
        <v>288</v>
      </c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</row>
    <row r="1391" spans="1:35" s="14" customFormat="1" ht="12" customHeight="1" x14ac:dyDescent="0.25">
      <c r="A1391" s="9">
        <v>1389</v>
      </c>
      <c r="B1391" s="15" t="s">
        <v>3232</v>
      </c>
      <c r="C1391" s="14" t="s">
        <v>1431</v>
      </c>
      <c r="D1391" s="9" t="s">
        <v>44</v>
      </c>
      <c r="E1391" s="14" t="s">
        <v>3233</v>
      </c>
      <c r="F1391" s="12">
        <f>DATE(2025,9,20)</f>
        <v>45920</v>
      </c>
      <c r="G1391" s="9" t="s">
        <v>174</v>
      </c>
      <c r="H1391" s="13">
        <v>1</v>
      </c>
      <c r="I1391" s="15" t="s">
        <v>45</v>
      </c>
      <c r="J1391" s="15" t="s">
        <v>3234</v>
      </c>
      <c r="K1391" s="13"/>
    </row>
    <row r="1392" spans="1:35" s="14" customFormat="1" ht="12" customHeight="1" x14ac:dyDescent="0.25">
      <c r="A1392" s="9">
        <v>1390</v>
      </c>
      <c r="B1392" s="14" t="s">
        <v>3235</v>
      </c>
      <c r="C1392" s="14" t="s">
        <v>3236</v>
      </c>
      <c r="D1392" s="9" t="s">
        <v>23</v>
      </c>
      <c r="E1392" s="15" t="s">
        <v>3235</v>
      </c>
      <c r="F1392" s="12">
        <f>DATE(2024,5,14)</f>
        <v>45426</v>
      </c>
      <c r="G1392" s="27">
        <v>2020</v>
      </c>
      <c r="H1392" s="13">
        <v>1</v>
      </c>
      <c r="I1392" s="15" t="s">
        <v>100</v>
      </c>
      <c r="J1392" s="15" t="s">
        <v>1939</v>
      </c>
    </row>
    <row r="1393" spans="1:35" s="14" customFormat="1" ht="12" customHeight="1" x14ac:dyDescent="0.25">
      <c r="A1393" s="9">
        <v>1391</v>
      </c>
      <c r="B1393" s="14" t="s">
        <v>3237</v>
      </c>
      <c r="C1393" s="14" t="s">
        <v>188</v>
      </c>
      <c r="D1393" s="9" t="s">
        <v>36</v>
      </c>
      <c r="E1393" s="15" t="str">
        <f>B1393</f>
        <v>Saw Palmetto</v>
      </c>
      <c r="F1393" s="12">
        <f>DATE(2020,4,2)</f>
        <v>43923</v>
      </c>
      <c r="G1393" s="9" t="s">
        <v>174</v>
      </c>
      <c r="H1393" s="13">
        <v>1</v>
      </c>
      <c r="I1393" s="15" t="s">
        <v>175</v>
      </c>
      <c r="J1393" s="15" t="s">
        <v>152</v>
      </c>
    </row>
    <row r="1394" spans="1:35" s="14" customFormat="1" ht="12" customHeight="1" x14ac:dyDescent="0.25">
      <c r="A1394" s="9">
        <v>1392</v>
      </c>
      <c r="B1394" s="14" t="s">
        <v>3238</v>
      </c>
      <c r="C1394" s="14" t="s">
        <v>3239</v>
      </c>
      <c r="D1394" s="9" t="s">
        <v>23</v>
      </c>
      <c r="E1394" s="15" t="str">
        <f>B1394</f>
        <v>Saxagliptin</v>
      </c>
      <c r="F1394" s="12">
        <f>DATE(2018,1,2)</f>
        <v>43102</v>
      </c>
      <c r="G1394" s="9">
        <v>2009</v>
      </c>
      <c r="H1394" s="13">
        <v>1</v>
      </c>
      <c r="I1394" s="15" t="s">
        <v>45</v>
      </c>
      <c r="J1394" s="15" t="s">
        <v>46</v>
      </c>
    </row>
    <row r="1395" spans="1:35" s="14" customFormat="1" ht="12" customHeight="1" x14ac:dyDescent="0.25">
      <c r="A1395" s="9">
        <v>1393</v>
      </c>
      <c r="B1395" s="14" t="s">
        <v>2356</v>
      </c>
      <c r="C1395" s="14" t="s">
        <v>3240</v>
      </c>
      <c r="D1395" s="9" t="s">
        <v>31</v>
      </c>
      <c r="E1395" s="15" t="str">
        <f>B1395</f>
        <v>Scopolamine</v>
      </c>
      <c r="F1395" s="12">
        <f>DATE(2017,7,7)</f>
        <v>42923</v>
      </c>
      <c r="G1395" s="9">
        <v>1979</v>
      </c>
      <c r="H1395" s="13">
        <v>1</v>
      </c>
      <c r="I1395" s="15" t="s">
        <v>182</v>
      </c>
      <c r="J1395" s="15" t="s">
        <v>318</v>
      </c>
    </row>
    <row r="1396" spans="1:35" s="14" customFormat="1" ht="12" customHeight="1" x14ac:dyDescent="0.25">
      <c r="A1396" s="9">
        <v>1394</v>
      </c>
      <c r="B1396" s="15" t="s">
        <v>3241</v>
      </c>
      <c r="C1396" s="15" t="s">
        <v>3242</v>
      </c>
      <c r="D1396" s="9" t="s">
        <v>31</v>
      </c>
      <c r="E1396" s="15" t="str">
        <f>B1396</f>
        <v>Sebelipase alfa</v>
      </c>
      <c r="F1396" s="12">
        <f>DATE(2016,3,12)</f>
        <v>42441</v>
      </c>
      <c r="G1396" s="9">
        <v>2015</v>
      </c>
      <c r="H1396" s="13">
        <v>1</v>
      </c>
      <c r="I1396" s="15" t="s">
        <v>104</v>
      </c>
      <c r="J1396" s="15" t="s">
        <v>3243</v>
      </c>
    </row>
    <row r="1397" spans="1:35" s="14" customFormat="1" ht="12" customHeight="1" x14ac:dyDescent="0.3">
      <c r="A1397" s="9">
        <v>1395</v>
      </c>
      <c r="B1397" s="14" t="s">
        <v>3244</v>
      </c>
      <c r="C1397" s="14" t="s">
        <v>3245</v>
      </c>
      <c r="D1397" s="9" t="s">
        <v>77</v>
      </c>
      <c r="E1397" s="14" t="s">
        <v>3244</v>
      </c>
      <c r="F1397" s="9"/>
      <c r="G1397" s="9">
        <v>2025</v>
      </c>
      <c r="H1397" s="16">
        <v>0</v>
      </c>
      <c r="I1397" s="14" t="s">
        <v>104</v>
      </c>
      <c r="J1397" s="14" t="s">
        <v>3246</v>
      </c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</row>
    <row r="1398" spans="1:35" s="14" customFormat="1" ht="12" customHeight="1" x14ac:dyDescent="0.25">
      <c r="A1398" s="9">
        <v>1396</v>
      </c>
      <c r="B1398" s="14" t="s">
        <v>3247</v>
      </c>
      <c r="C1398" s="14" t="s">
        <v>3248</v>
      </c>
      <c r="D1398" s="9" t="s">
        <v>31</v>
      </c>
      <c r="E1398" s="15" t="str">
        <f>B1398</f>
        <v>Secnidazole</v>
      </c>
      <c r="F1398" s="12">
        <f>DATE(2020,2,20)</f>
        <v>43881</v>
      </c>
      <c r="G1398" s="9">
        <v>2017</v>
      </c>
      <c r="H1398" s="13">
        <v>1</v>
      </c>
      <c r="I1398" s="15" t="s">
        <v>15</v>
      </c>
      <c r="J1398" s="15" t="s">
        <v>3249</v>
      </c>
    </row>
    <row r="1399" spans="1:35" s="14" customFormat="1" ht="12" customHeight="1" x14ac:dyDescent="0.25">
      <c r="A1399" s="9">
        <v>1397</v>
      </c>
      <c r="B1399" s="14" t="s">
        <v>3250</v>
      </c>
      <c r="C1399" s="14" t="s">
        <v>3251</v>
      </c>
      <c r="D1399" s="9" t="s">
        <v>31</v>
      </c>
      <c r="E1399" s="15" t="s">
        <v>258</v>
      </c>
      <c r="F1399" s="12">
        <f>DATE(2021,10,5)</f>
        <v>44474</v>
      </c>
      <c r="G1399" s="9">
        <v>1950</v>
      </c>
      <c r="H1399" s="13">
        <v>1</v>
      </c>
      <c r="I1399" s="15" t="s">
        <v>100</v>
      </c>
      <c r="J1399" s="15" t="s">
        <v>204</v>
      </c>
    </row>
    <row r="1400" spans="1:35" s="14" customFormat="1" ht="12" customHeight="1" x14ac:dyDescent="0.25">
      <c r="A1400" s="9">
        <v>1398</v>
      </c>
      <c r="B1400" s="14" t="s">
        <v>3252</v>
      </c>
      <c r="C1400" s="14" t="s">
        <v>3253</v>
      </c>
      <c r="D1400" s="13" t="s">
        <v>23</v>
      </c>
      <c r="E1400" s="15" t="str">
        <f>B1400</f>
        <v>Secukinumab</v>
      </c>
      <c r="F1400" s="12">
        <f>DATE(2021,4,24)</f>
        <v>44310</v>
      </c>
      <c r="G1400" s="9">
        <v>2015</v>
      </c>
      <c r="H1400" s="13">
        <v>1</v>
      </c>
      <c r="I1400" s="15" t="s">
        <v>32</v>
      </c>
      <c r="J1400" s="15" t="s">
        <v>70</v>
      </c>
    </row>
    <row r="1401" spans="1:35" s="14" customFormat="1" ht="12" customHeight="1" x14ac:dyDescent="0.25">
      <c r="A1401" s="9">
        <v>1399</v>
      </c>
      <c r="B1401" s="15" t="s">
        <v>3254</v>
      </c>
      <c r="C1401" s="14" t="s">
        <v>3255</v>
      </c>
      <c r="D1401" s="13" t="s">
        <v>23</v>
      </c>
      <c r="E1401" s="15" t="s">
        <v>3254</v>
      </c>
      <c r="F1401" s="12">
        <f>DATE(2024,10,5)</f>
        <v>45570</v>
      </c>
      <c r="G1401" s="9">
        <v>2024</v>
      </c>
      <c r="H1401" s="13">
        <v>1</v>
      </c>
      <c r="I1401" s="15" t="s">
        <v>3256</v>
      </c>
      <c r="J1401" s="15" t="s">
        <v>3257</v>
      </c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</row>
    <row r="1402" spans="1:35" s="14" customFormat="1" ht="12" customHeight="1" x14ac:dyDescent="0.25">
      <c r="A1402" s="9">
        <v>1400</v>
      </c>
      <c r="B1402" s="14" t="s">
        <v>3258</v>
      </c>
      <c r="C1402" s="14" t="s">
        <v>3259</v>
      </c>
      <c r="D1402" s="9" t="s">
        <v>23</v>
      </c>
      <c r="E1402" s="15" t="str">
        <f>B1402</f>
        <v>Selegiline</v>
      </c>
      <c r="F1402" s="12">
        <f>DATE(2017,7,21)</f>
        <v>42937</v>
      </c>
      <c r="G1402" s="9">
        <v>2006</v>
      </c>
      <c r="H1402" s="13">
        <v>1</v>
      </c>
      <c r="I1402" s="15" t="s">
        <v>100</v>
      </c>
      <c r="J1402" s="15" t="s">
        <v>210</v>
      </c>
    </row>
    <row r="1403" spans="1:35" s="14" customFormat="1" ht="12" customHeight="1" x14ac:dyDescent="0.25">
      <c r="A1403" s="9">
        <v>1401</v>
      </c>
      <c r="B1403" s="14" t="s">
        <v>3260</v>
      </c>
      <c r="C1403" s="14" t="s">
        <v>335</v>
      </c>
      <c r="D1403" s="9" t="s">
        <v>31</v>
      </c>
      <c r="E1403" s="15" t="s">
        <v>688</v>
      </c>
      <c r="F1403" s="12">
        <f>DATE(2019,6,5)</f>
        <v>43621</v>
      </c>
      <c r="G1403" s="9" t="s">
        <v>174</v>
      </c>
      <c r="H1403" s="13">
        <v>1</v>
      </c>
      <c r="I1403" s="15" t="s">
        <v>66</v>
      </c>
      <c r="J1403" s="15" t="s">
        <v>1961</v>
      </c>
    </row>
    <row r="1404" spans="1:35" s="14" customFormat="1" ht="12" customHeight="1" x14ac:dyDescent="0.25">
      <c r="A1404" s="9">
        <v>1402</v>
      </c>
      <c r="B1404" s="14" t="s">
        <v>3261</v>
      </c>
      <c r="C1404" s="14" t="s">
        <v>3262</v>
      </c>
      <c r="D1404" s="9" t="s">
        <v>31</v>
      </c>
      <c r="E1404" s="15" t="str">
        <f>B1404</f>
        <v>Selexipag</v>
      </c>
      <c r="F1404" s="12">
        <f>DATE(2016,11,29)</f>
        <v>42703</v>
      </c>
      <c r="G1404" s="9">
        <v>2015</v>
      </c>
      <c r="H1404" s="13">
        <v>1</v>
      </c>
      <c r="I1404" s="15" t="s">
        <v>73</v>
      </c>
      <c r="J1404" s="15" t="s">
        <v>216</v>
      </c>
    </row>
    <row r="1405" spans="1:35" s="14" customFormat="1" ht="12" customHeight="1" x14ac:dyDescent="0.25">
      <c r="A1405" s="9">
        <v>1403</v>
      </c>
      <c r="B1405" s="14" t="s">
        <v>3263</v>
      </c>
      <c r="C1405" s="14" t="s">
        <v>3264</v>
      </c>
      <c r="D1405" s="9" t="s">
        <v>23</v>
      </c>
      <c r="E1405" s="15" t="s">
        <v>3263</v>
      </c>
      <c r="F1405" s="12">
        <f>DATE(2023,4,29)</f>
        <v>45045</v>
      </c>
      <c r="G1405" s="9">
        <v>2019</v>
      </c>
      <c r="H1405" s="13">
        <v>1</v>
      </c>
      <c r="I1405" s="15" t="s">
        <v>24</v>
      </c>
      <c r="J1405" s="15" t="s">
        <v>3265</v>
      </c>
    </row>
    <row r="1406" spans="1:35" s="14" customFormat="1" ht="12" customHeight="1" x14ac:dyDescent="0.25">
      <c r="A1406" s="9">
        <v>1404</v>
      </c>
      <c r="B1406" s="14" t="s">
        <v>3266</v>
      </c>
      <c r="C1406" s="14" t="s">
        <v>3267</v>
      </c>
      <c r="D1406" s="9" t="s">
        <v>23</v>
      </c>
      <c r="E1406" s="15" t="s">
        <v>3268</v>
      </c>
      <c r="F1406" s="12">
        <f>DATE(2023,8,23)</f>
        <v>45161</v>
      </c>
      <c r="G1406" s="27">
        <v>2020</v>
      </c>
      <c r="H1406" s="13">
        <v>1</v>
      </c>
      <c r="I1406" s="15" t="s">
        <v>24</v>
      </c>
      <c r="J1406" s="15" t="s">
        <v>3269</v>
      </c>
    </row>
    <row r="1407" spans="1:35" s="14" customFormat="1" ht="12" customHeight="1" x14ac:dyDescent="0.25">
      <c r="A1407" s="9">
        <v>1405</v>
      </c>
      <c r="B1407" s="15" t="s">
        <v>3270</v>
      </c>
      <c r="C1407" s="15" t="s">
        <v>3271</v>
      </c>
      <c r="D1407" s="9" t="s">
        <v>23</v>
      </c>
      <c r="E1407" s="15" t="str">
        <f>B1407</f>
        <v>Selumetinib</v>
      </c>
      <c r="F1407" s="18">
        <f>DATE(2021,1,5)</f>
        <v>44201</v>
      </c>
      <c r="G1407" s="9">
        <v>2020</v>
      </c>
      <c r="H1407" s="13">
        <v>1</v>
      </c>
      <c r="I1407" s="15" t="s">
        <v>24</v>
      </c>
      <c r="J1407" s="15" t="s">
        <v>2416</v>
      </c>
    </row>
    <row r="1408" spans="1:35" s="14" customFormat="1" ht="12" customHeight="1" x14ac:dyDescent="0.25">
      <c r="A1408" s="9">
        <v>1406</v>
      </c>
      <c r="B1408" s="14" t="s">
        <v>3272</v>
      </c>
      <c r="C1408" s="14" t="s">
        <v>3273</v>
      </c>
      <c r="D1408" s="9" t="s">
        <v>36</v>
      </c>
      <c r="E1408" s="15" t="str">
        <f>B1408</f>
        <v>Semaglutide</v>
      </c>
      <c r="F1408" s="12">
        <f>DATE(2025,6,20)</f>
        <v>45828</v>
      </c>
      <c r="G1408" s="9">
        <v>2017</v>
      </c>
      <c r="H1408" s="13">
        <v>1</v>
      </c>
      <c r="I1408" s="15" t="s">
        <v>45</v>
      </c>
      <c r="J1408" s="15" t="s">
        <v>3274</v>
      </c>
    </row>
    <row r="1409" spans="1:35" s="14" customFormat="1" ht="12" customHeight="1" x14ac:dyDescent="0.25">
      <c r="A1409" s="9">
        <v>1407</v>
      </c>
      <c r="B1409" s="14" t="s">
        <v>3275</v>
      </c>
      <c r="C1409" s="14" t="s">
        <v>2880</v>
      </c>
      <c r="D1409" s="9" t="s">
        <v>36</v>
      </c>
      <c r="E1409" s="15" t="str">
        <f>B1409</f>
        <v>Senna</v>
      </c>
      <c r="F1409" s="12">
        <f>DATE(2020,4,1)</f>
        <v>43922</v>
      </c>
      <c r="G1409" s="9" t="s">
        <v>174</v>
      </c>
      <c r="H1409" s="13">
        <v>1</v>
      </c>
      <c r="I1409" s="15" t="s">
        <v>175</v>
      </c>
      <c r="J1409" s="15" t="s">
        <v>176</v>
      </c>
    </row>
    <row r="1410" spans="1:35" s="14" customFormat="1" ht="12" customHeight="1" x14ac:dyDescent="0.3">
      <c r="A1410" s="9">
        <v>1408</v>
      </c>
      <c r="B1410" s="14" t="s">
        <v>3276</v>
      </c>
      <c r="C1410" s="14" t="s">
        <v>3277</v>
      </c>
      <c r="D1410" s="9" t="s">
        <v>77</v>
      </c>
      <c r="E1410" s="14" t="s">
        <v>3276</v>
      </c>
      <c r="F1410" s="9"/>
      <c r="G1410" s="9">
        <v>2025</v>
      </c>
      <c r="H1410" s="16">
        <v>0</v>
      </c>
      <c r="I1410" s="14" t="s">
        <v>104</v>
      </c>
      <c r="J1410" s="14" t="s">
        <v>3278</v>
      </c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</row>
    <row r="1411" spans="1:35" s="14" customFormat="1" ht="12" customHeight="1" x14ac:dyDescent="0.25">
      <c r="A1411" s="9">
        <v>1409</v>
      </c>
      <c r="B1411" s="14" t="s">
        <v>3279</v>
      </c>
      <c r="C1411" s="14" t="s">
        <v>3280</v>
      </c>
      <c r="D1411" s="9" t="s">
        <v>44</v>
      </c>
      <c r="E1411" s="15" t="str">
        <f>B1411</f>
        <v>Sertraline</v>
      </c>
      <c r="F1411" s="12">
        <f>DATE(2020,4,8)</f>
        <v>43929</v>
      </c>
      <c r="G1411" s="9">
        <v>1991</v>
      </c>
      <c r="H1411" s="13">
        <v>1</v>
      </c>
      <c r="I1411" s="15" t="s">
        <v>100</v>
      </c>
      <c r="J1411" s="15" t="s">
        <v>250</v>
      </c>
    </row>
    <row r="1412" spans="1:35" s="14" customFormat="1" ht="12" customHeight="1" x14ac:dyDescent="0.25">
      <c r="A1412" s="9">
        <v>1410</v>
      </c>
      <c r="B1412" s="14" t="s">
        <v>3281</v>
      </c>
      <c r="C1412" s="14" t="s">
        <v>3282</v>
      </c>
      <c r="D1412" s="9" t="s">
        <v>31</v>
      </c>
      <c r="E1412" s="15" t="s">
        <v>3281</v>
      </c>
      <c r="F1412" s="12">
        <f>DATE(2024,7,5)</f>
        <v>45478</v>
      </c>
      <c r="G1412" s="27">
        <v>2020</v>
      </c>
      <c r="H1412" s="13">
        <v>1</v>
      </c>
      <c r="I1412" s="15" t="s">
        <v>104</v>
      </c>
      <c r="J1412" s="15" t="s">
        <v>3283</v>
      </c>
    </row>
    <row r="1413" spans="1:35" s="14" customFormat="1" ht="12" customHeight="1" x14ac:dyDescent="0.3">
      <c r="A1413" s="9">
        <v>1411</v>
      </c>
      <c r="B1413" s="14" t="s">
        <v>3284</v>
      </c>
      <c r="C1413" s="14" t="s">
        <v>3285</v>
      </c>
      <c r="D1413" s="9" t="s">
        <v>77</v>
      </c>
      <c r="E1413" s="14" t="s">
        <v>3284</v>
      </c>
      <c r="F1413" s="9"/>
      <c r="G1413" s="9">
        <v>2025</v>
      </c>
      <c r="H1413" s="16">
        <v>0</v>
      </c>
      <c r="I1413" s="14" t="s">
        <v>24</v>
      </c>
      <c r="J1413" s="14" t="s">
        <v>624</v>
      </c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</row>
    <row r="1414" spans="1:35" s="14" customFormat="1" ht="12" customHeight="1" x14ac:dyDescent="0.25">
      <c r="A1414" s="9">
        <v>1412</v>
      </c>
      <c r="B1414" s="14" t="s">
        <v>3286</v>
      </c>
      <c r="C1414" s="14" t="s">
        <v>3287</v>
      </c>
      <c r="D1414" s="9" t="s">
        <v>31</v>
      </c>
      <c r="E1414" s="15"/>
      <c r="F1414" s="12"/>
      <c r="G1414" s="9">
        <v>2007</v>
      </c>
      <c r="H1414" s="13">
        <v>0</v>
      </c>
      <c r="I1414" s="15" t="s">
        <v>66</v>
      </c>
      <c r="J1414" s="15" t="s">
        <v>3288</v>
      </c>
    </row>
    <row r="1415" spans="1:35" s="14" customFormat="1" ht="12" customHeight="1" x14ac:dyDescent="0.25">
      <c r="A1415" s="9">
        <v>1413</v>
      </c>
      <c r="B1415" s="14" t="s">
        <v>3289</v>
      </c>
      <c r="C1415" s="14" t="s">
        <v>3290</v>
      </c>
      <c r="D1415" s="9" t="s">
        <v>44</v>
      </c>
      <c r="E1415" s="15" t="str">
        <f>B1415</f>
        <v>Sevoflurane</v>
      </c>
      <c r="F1415" s="12">
        <f>DATE(2018,1,1)</f>
        <v>43101</v>
      </c>
      <c r="G1415" s="9">
        <v>1995</v>
      </c>
      <c r="H1415" s="13">
        <v>1</v>
      </c>
      <c r="I1415" s="15" t="s">
        <v>100</v>
      </c>
      <c r="J1415" s="15" t="s">
        <v>1162</v>
      </c>
    </row>
    <row r="1416" spans="1:35" s="14" customFormat="1" ht="12" customHeight="1" x14ac:dyDescent="0.25">
      <c r="A1416" s="9">
        <v>1414</v>
      </c>
      <c r="B1416" s="14" t="s">
        <v>3291</v>
      </c>
      <c r="C1416" s="14" t="s">
        <v>188</v>
      </c>
      <c r="D1416" s="9" t="s">
        <v>44</v>
      </c>
      <c r="E1416" s="15" t="str">
        <f>B1416</f>
        <v>Sho Saiko To</v>
      </c>
      <c r="F1416" s="12">
        <f>DATE(2020,8,15)</f>
        <v>44058</v>
      </c>
      <c r="G1416" s="9" t="s">
        <v>174</v>
      </c>
      <c r="H1416" s="13">
        <v>1</v>
      </c>
      <c r="I1416" s="15" t="s">
        <v>175</v>
      </c>
      <c r="J1416" s="15" t="s">
        <v>67</v>
      </c>
    </row>
    <row r="1417" spans="1:35" s="14" customFormat="1" ht="12" customHeight="1" x14ac:dyDescent="0.25">
      <c r="A1417" s="9">
        <v>1415</v>
      </c>
      <c r="B1417" s="14" t="s">
        <v>3292</v>
      </c>
      <c r="C1417" s="14" t="s">
        <v>188</v>
      </c>
      <c r="D1417" s="9" t="s">
        <v>166</v>
      </c>
      <c r="E1417" s="15" t="s">
        <v>2946</v>
      </c>
      <c r="F1417" s="12">
        <f>DATE(2017,1,7)</f>
        <v>42742</v>
      </c>
      <c r="G1417" s="9" t="s">
        <v>174</v>
      </c>
      <c r="H1417" s="13">
        <v>1</v>
      </c>
      <c r="I1417" s="15" t="s">
        <v>175</v>
      </c>
      <c r="J1417" s="15" t="s">
        <v>771</v>
      </c>
    </row>
    <row r="1418" spans="1:35" s="14" customFormat="1" ht="12" customHeight="1" x14ac:dyDescent="0.3">
      <c r="A1418" s="9">
        <v>1416</v>
      </c>
      <c r="B1418" s="14" t="s">
        <v>3293</v>
      </c>
      <c r="C1418" s="14" t="s">
        <v>3294</v>
      </c>
      <c r="D1418" s="9" t="s">
        <v>77</v>
      </c>
      <c r="E1418" s="14" t="s">
        <v>3293</v>
      </c>
      <c r="F1418" s="9"/>
      <c r="G1418" s="9">
        <v>2025</v>
      </c>
      <c r="H1418" s="16">
        <v>0</v>
      </c>
      <c r="I1418" s="14" t="s">
        <v>3295</v>
      </c>
      <c r="J1418" s="14" t="s">
        <v>3296</v>
      </c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</row>
    <row r="1419" spans="1:35" s="14" customFormat="1" ht="12" customHeight="1" x14ac:dyDescent="0.25">
      <c r="A1419" s="9">
        <v>1417</v>
      </c>
      <c r="B1419" s="14" t="s">
        <v>3297</v>
      </c>
      <c r="C1419" s="14" t="s">
        <v>3298</v>
      </c>
      <c r="D1419" s="9" t="s">
        <v>36</v>
      </c>
      <c r="E1419" s="15" t="str">
        <f>B1419</f>
        <v>Sibutramine</v>
      </c>
      <c r="F1419" s="12">
        <f>DATE(2020,6,5)</f>
        <v>43987</v>
      </c>
      <c r="G1419" s="9">
        <v>1997</v>
      </c>
      <c r="H1419" s="13">
        <v>1</v>
      </c>
      <c r="I1419" s="15" t="s">
        <v>520</v>
      </c>
      <c r="J1419" s="15" t="s">
        <v>521</v>
      </c>
    </row>
    <row r="1420" spans="1:35" s="14" customFormat="1" ht="12" customHeight="1" x14ac:dyDescent="0.25">
      <c r="A1420" s="9">
        <v>1418</v>
      </c>
      <c r="B1420" s="14" t="s">
        <v>3299</v>
      </c>
      <c r="C1420" s="14" t="s">
        <v>3300</v>
      </c>
      <c r="D1420" s="9" t="s">
        <v>14</v>
      </c>
      <c r="E1420" s="15" t="str">
        <f>B1420</f>
        <v>Sildenafil</v>
      </c>
      <c r="F1420" s="12">
        <f>DATE(2017,8,3)</f>
        <v>42950</v>
      </c>
      <c r="G1420" s="9">
        <v>1998</v>
      </c>
      <c r="H1420" s="13">
        <v>1</v>
      </c>
      <c r="I1420" s="15" t="s">
        <v>151</v>
      </c>
      <c r="J1420" s="15" t="s">
        <v>414</v>
      </c>
    </row>
    <row r="1421" spans="1:35" s="14" customFormat="1" ht="12" customHeight="1" x14ac:dyDescent="0.25">
      <c r="A1421" s="9">
        <v>1419</v>
      </c>
      <c r="B1421" s="14" t="s">
        <v>3301</v>
      </c>
      <c r="C1421" s="14" t="s">
        <v>335</v>
      </c>
      <c r="D1421" s="9" t="s">
        <v>31</v>
      </c>
      <c r="E1421" s="15" t="s">
        <v>688</v>
      </c>
      <c r="F1421" s="12">
        <f>DATE(2019,6,5)</f>
        <v>43621</v>
      </c>
      <c r="G1421" s="9" t="s">
        <v>174</v>
      </c>
      <c r="H1421" s="13">
        <v>1</v>
      </c>
      <c r="I1421" s="15" t="s">
        <v>66</v>
      </c>
      <c r="J1421" s="15" t="s">
        <v>1961</v>
      </c>
    </row>
    <row r="1422" spans="1:35" s="14" customFormat="1" ht="12" customHeight="1" x14ac:dyDescent="0.25">
      <c r="A1422" s="9">
        <v>1420</v>
      </c>
      <c r="B1422" s="14" t="s">
        <v>3302</v>
      </c>
      <c r="C1422" s="14" t="s">
        <v>3303</v>
      </c>
      <c r="D1422" s="9" t="s">
        <v>23</v>
      </c>
      <c r="E1422" s="15" t="str">
        <f>B1422</f>
        <v>Silodosin</v>
      </c>
      <c r="F1422" s="12">
        <f>DATE(2018,1,5)</f>
        <v>43105</v>
      </c>
      <c r="G1422" s="9">
        <v>2008</v>
      </c>
      <c r="H1422" s="13">
        <v>1</v>
      </c>
      <c r="I1422" s="15" t="s">
        <v>151</v>
      </c>
      <c r="J1422" s="15" t="s">
        <v>152</v>
      </c>
    </row>
    <row r="1423" spans="1:35" s="14" customFormat="1" ht="12" customHeight="1" x14ac:dyDescent="0.25">
      <c r="A1423" s="9">
        <v>1421</v>
      </c>
      <c r="B1423" s="14" t="s">
        <v>3304</v>
      </c>
      <c r="C1423" s="14" t="s">
        <v>3305</v>
      </c>
      <c r="D1423" s="9" t="s">
        <v>31</v>
      </c>
      <c r="E1423" s="15" t="str">
        <f>B1423</f>
        <v>Siltuximab</v>
      </c>
      <c r="F1423" s="12">
        <f>DATE(2016,5,1)</f>
        <v>42491</v>
      </c>
      <c r="G1423" s="9">
        <v>2014</v>
      </c>
      <c r="H1423" s="13">
        <v>1</v>
      </c>
      <c r="I1423" s="15" t="s">
        <v>19</v>
      </c>
      <c r="J1423" s="15" t="s">
        <v>3306</v>
      </c>
    </row>
    <row r="1424" spans="1:35" s="14" customFormat="1" ht="12" customHeight="1" x14ac:dyDescent="0.25">
      <c r="A1424" s="9">
        <v>1422</v>
      </c>
      <c r="B1424" s="14" t="s">
        <v>3307</v>
      </c>
      <c r="C1424" s="14" t="s">
        <v>3308</v>
      </c>
      <c r="D1424" s="9" t="s">
        <v>44</v>
      </c>
      <c r="E1424" s="15" t="str">
        <f>B1424</f>
        <v>Simeprevir</v>
      </c>
      <c r="F1424" s="12">
        <f>DATE(2022,1,10)</f>
        <v>44571</v>
      </c>
      <c r="G1424" s="9">
        <v>2013</v>
      </c>
      <c r="H1424" s="13">
        <v>1</v>
      </c>
      <c r="I1424" s="15" t="s">
        <v>15</v>
      </c>
      <c r="J1424" s="15" t="s">
        <v>366</v>
      </c>
    </row>
    <row r="1425" spans="1:35" s="14" customFormat="1" ht="12" customHeight="1" x14ac:dyDescent="0.25">
      <c r="A1425" s="9">
        <v>1423</v>
      </c>
      <c r="B1425" s="14" t="s">
        <v>3309</v>
      </c>
      <c r="C1425" s="14" t="s">
        <v>3310</v>
      </c>
      <c r="D1425" s="9" t="s">
        <v>31</v>
      </c>
      <c r="E1425" s="15"/>
      <c r="F1425" s="12"/>
      <c r="G1425" s="9">
        <v>1998</v>
      </c>
      <c r="H1425" s="13">
        <v>0</v>
      </c>
      <c r="I1425" s="15" t="s">
        <v>182</v>
      </c>
      <c r="J1425" s="15" t="s">
        <v>823</v>
      </c>
    </row>
    <row r="1426" spans="1:35" s="14" customFormat="1" ht="12" customHeight="1" x14ac:dyDescent="0.25">
      <c r="A1426" s="9">
        <v>1424</v>
      </c>
      <c r="B1426" s="14" t="s">
        <v>3311</v>
      </c>
      <c r="C1426" s="14" t="s">
        <v>3312</v>
      </c>
      <c r="D1426" s="9" t="s">
        <v>166</v>
      </c>
      <c r="E1426" s="15" t="str">
        <f t="shared" ref="E1426:E1431" si="34">B1426</f>
        <v>Simvastatin</v>
      </c>
      <c r="F1426" s="12">
        <f>DATE(2021,12,1)</f>
        <v>44531</v>
      </c>
      <c r="G1426" s="9">
        <v>1991</v>
      </c>
      <c r="H1426" s="13">
        <v>1</v>
      </c>
      <c r="I1426" s="15" t="s">
        <v>49</v>
      </c>
      <c r="J1426" s="15" t="s">
        <v>161</v>
      </c>
    </row>
    <row r="1427" spans="1:35" s="14" customFormat="1" ht="12" customHeight="1" x14ac:dyDescent="0.25">
      <c r="A1427" s="9">
        <v>1425</v>
      </c>
      <c r="B1427" s="14" t="s">
        <v>3313</v>
      </c>
      <c r="C1427" s="14" t="s">
        <v>3314</v>
      </c>
      <c r="D1427" s="9" t="s">
        <v>23</v>
      </c>
      <c r="E1427" s="15" t="str">
        <f t="shared" si="34"/>
        <v>Siponimod</v>
      </c>
      <c r="F1427" s="12">
        <f>DATE(2025,11,25)</f>
        <v>45986</v>
      </c>
      <c r="G1427" s="9">
        <v>2019</v>
      </c>
      <c r="H1427" s="13">
        <v>1</v>
      </c>
      <c r="I1427" s="15" t="s">
        <v>100</v>
      </c>
      <c r="J1427" s="15" t="s">
        <v>1076</v>
      </c>
    </row>
    <row r="1428" spans="1:35" s="14" customFormat="1" ht="12" customHeight="1" x14ac:dyDescent="0.25">
      <c r="A1428" s="9">
        <v>1426</v>
      </c>
      <c r="B1428" s="14" t="s">
        <v>3315</v>
      </c>
      <c r="C1428" s="14" t="s">
        <v>3316</v>
      </c>
      <c r="D1428" s="9" t="s">
        <v>14</v>
      </c>
      <c r="E1428" s="15" t="str">
        <f t="shared" si="34"/>
        <v>Sirolimus</v>
      </c>
      <c r="F1428" s="12">
        <f>DATE(2020,2,18)</f>
        <v>43879</v>
      </c>
      <c r="G1428" s="9">
        <v>1999</v>
      </c>
      <c r="H1428" s="13">
        <v>1</v>
      </c>
      <c r="I1428" s="15" t="s">
        <v>139</v>
      </c>
      <c r="J1428" s="15" t="s">
        <v>140</v>
      </c>
    </row>
    <row r="1429" spans="1:35" s="14" customFormat="1" ht="12" customHeight="1" x14ac:dyDescent="0.25">
      <c r="A1429" s="9">
        <v>1427</v>
      </c>
      <c r="B1429" s="14" t="s">
        <v>3317</v>
      </c>
      <c r="C1429" s="14" t="s">
        <v>3318</v>
      </c>
      <c r="D1429" s="9" t="s">
        <v>36</v>
      </c>
      <c r="E1429" s="15" t="str">
        <f t="shared" si="34"/>
        <v>Sitagliptin</v>
      </c>
      <c r="F1429" s="12">
        <f>DATE(2018,1,2)</f>
        <v>43102</v>
      </c>
      <c r="G1429" s="9">
        <v>2006</v>
      </c>
      <c r="H1429" s="13">
        <v>1</v>
      </c>
      <c r="I1429" s="15" t="s">
        <v>45</v>
      </c>
      <c r="J1429" s="15" t="s">
        <v>46</v>
      </c>
    </row>
    <row r="1430" spans="1:35" s="14" customFormat="1" ht="12" customHeight="1" x14ac:dyDescent="0.25">
      <c r="A1430" s="9">
        <v>1428</v>
      </c>
      <c r="B1430" s="14" t="s">
        <v>3319</v>
      </c>
      <c r="C1430" s="14" t="s">
        <v>188</v>
      </c>
      <c r="D1430" s="9" t="s">
        <v>44</v>
      </c>
      <c r="E1430" s="15" t="str">
        <f t="shared" si="34"/>
        <v>Skullcap</v>
      </c>
      <c r="F1430" s="12">
        <f>DATE(2020,4,2)</f>
        <v>43923</v>
      </c>
      <c r="G1430" s="9" t="s">
        <v>174</v>
      </c>
      <c r="H1430" s="13">
        <v>1</v>
      </c>
      <c r="I1430" s="15" t="s">
        <v>175</v>
      </c>
      <c r="J1430" s="15" t="s">
        <v>204</v>
      </c>
    </row>
    <row r="1431" spans="1:35" s="14" customFormat="1" ht="12" customHeight="1" x14ac:dyDescent="0.25">
      <c r="A1431" s="9">
        <v>1429</v>
      </c>
      <c r="B1431" s="14" t="s">
        <v>3320</v>
      </c>
      <c r="C1431" s="14" t="s">
        <v>3321</v>
      </c>
      <c r="D1431" s="9" t="s">
        <v>14</v>
      </c>
      <c r="E1431" s="15" t="str">
        <f t="shared" si="34"/>
        <v>Slimquick</v>
      </c>
      <c r="F1431" s="12">
        <f>DATE(2021,9,3)</f>
        <v>44442</v>
      </c>
      <c r="G1431" s="9" t="s">
        <v>174</v>
      </c>
      <c r="H1431" s="13">
        <v>1</v>
      </c>
      <c r="I1431" s="15" t="s">
        <v>2471</v>
      </c>
      <c r="J1431" s="15" t="s">
        <v>1462</v>
      </c>
    </row>
    <row r="1432" spans="1:35" s="14" customFormat="1" ht="12" customHeight="1" x14ac:dyDescent="0.25">
      <c r="A1432" s="9">
        <v>1430</v>
      </c>
      <c r="B1432" s="15" t="s">
        <v>3322</v>
      </c>
      <c r="C1432" s="15" t="s">
        <v>3323</v>
      </c>
      <c r="D1432" s="9" t="s">
        <v>31</v>
      </c>
      <c r="E1432" s="15" t="s">
        <v>3324</v>
      </c>
      <c r="F1432" s="12">
        <f>DATE(2024,1,5)</f>
        <v>45296</v>
      </c>
      <c r="G1432" s="9" t="s">
        <v>174</v>
      </c>
      <c r="H1432" s="13">
        <v>1</v>
      </c>
      <c r="I1432" s="15" t="s">
        <v>175</v>
      </c>
      <c r="J1432" s="15" t="s">
        <v>3325</v>
      </c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</row>
    <row r="1433" spans="1:35" s="14" customFormat="1" ht="12" customHeight="1" x14ac:dyDescent="0.25">
      <c r="A1433" s="9">
        <v>1431</v>
      </c>
      <c r="B1433" s="14" t="s">
        <v>3326</v>
      </c>
      <c r="C1433" s="14" t="s">
        <v>188</v>
      </c>
      <c r="D1433" s="27" t="s">
        <v>31</v>
      </c>
      <c r="E1433" s="15" t="s">
        <v>3327</v>
      </c>
      <c r="F1433" s="12">
        <f>DATE(2016,10,1)</f>
        <v>42644</v>
      </c>
      <c r="G1433" s="9">
        <v>1997</v>
      </c>
      <c r="H1433" s="13">
        <v>1</v>
      </c>
      <c r="I1433" s="15" t="s">
        <v>104</v>
      </c>
      <c r="J1433" s="15" t="s">
        <v>746</v>
      </c>
    </row>
    <row r="1434" spans="1:35" s="14" customFormat="1" ht="12" customHeight="1" x14ac:dyDescent="0.25">
      <c r="A1434" s="9">
        <v>1432</v>
      </c>
      <c r="B1434" s="14" t="s">
        <v>2073</v>
      </c>
      <c r="C1434" s="14" t="s">
        <v>3328</v>
      </c>
      <c r="D1434" s="9" t="s">
        <v>166</v>
      </c>
      <c r="E1434" s="15" t="str">
        <f>B1434</f>
        <v>Sofosbuvir</v>
      </c>
      <c r="F1434" s="12">
        <f>DATE(2022,2,3)</f>
        <v>44595</v>
      </c>
      <c r="G1434" s="9">
        <v>2013</v>
      </c>
      <c r="H1434" s="13">
        <v>1</v>
      </c>
      <c r="I1434" s="15" t="s">
        <v>15</v>
      </c>
      <c r="J1434" s="15" t="s">
        <v>366</v>
      </c>
    </row>
    <row r="1435" spans="1:35" s="14" customFormat="1" ht="12" customHeight="1" x14ac:dyDescent="0.25">
      <c r="A1435" s="9">
        <v>1433</v>
      </c>
      <c r="B1435" s="14" t="s">
        <v>3329</v>
      </c>
      <c r="C1435" s="14" t="s">
        <v>3330</v>
      </c>
      <c r="D1435" s="9" t="s">
        <v>36</v>
      </c>
      <c r="E1435" s="15" t="str">
        <f>B1435</f>
        <v>Solifenacin</v>
      </c>
      <c r="F1435" s="12">
        <f>DATE(2023,7,12)</f>
        <v>45119</v>
      </c>
      <c r="G1435" s="9">
        <v>2004</v>
      </c>
      <c r="H1435" s="13">
        <v>1</v>
      </c>
      <c r="I1435" s="15" t="s">
        <v>151</v>
      </c>
      <c r="J1435" s="15" t="s">
        <v>1108</v>
      </c>
    </row>
    <row r="1436" spans="1:35" s="14" customFormat="1" ht="12" customHeight="1" x14ac:dyDescent="0.25">
      <c r="A1436" s="9">
        <v>1434</v>
      </c>
      <c r="B1436" s="14" t="s">
        <v>3331</v>
      </c>
      <c r="C1436" s="14" t="s">
        <v>3332</v>
      </c>
      <c r="D1436" s="9" t="s">
        <v>31</v>
      </c>
      <c r="E1436" s="15" t="str">
        <f>B1436</f>
        <v>Solriamfetol</v>
      </c>
      <c r="F1436" s="12">
        <f>DATE(2021,5,11)</f>
        <v>44327</v>
      </c>
      <c r="G1436" s="9">
        <v>2019</v>
      </c>
      <c r="H1436" s="13">
        <v>1</v>
      </c>
      <c r="I1436" s="15" t="s">
        <v>100</v>
      </c>
      <c r="J1436" s="15" t="s">
        <v>3333</v>
      </c>
    </row>
    <row r="1437" spans="1:35" s="14" customFormat="1" ht="12" customHeight="1" x14ac:dyDescent="0.25">
      <c r="A1437" s="9">
        <v>1435</v>
      </c>
      <c r="B1437" s="14" t="s">
        <v>3334</v>
      </c>
      <c r="C1437" s="14" t="s">
        <v>3335</v>
      </c>
      <c r="D1437" s="9" t="s">
        <v>31</v>
      </c>
      <c r="E1437" s="15" t="s">
        <v>3336</v>
      </c>
      <c r="F1437" s="12">
        <f>DATE(2024,6,20)</f>
        <v>45463</v>
      </c>
      <c r="G1437" s="27">
        <v>2020</v>
      </c>
      <c r="H1437" s="13">
        <v>1</v>
      </c>
      <c r="I1437" s="15" t="s">
        <v>45</v>
      </c>
      <c r="J1437" s="15" t="s">
        <v>2233</v>
      </c>
    </row>
    <row r="1438" spans="1:35" s="14" customFormat="1" ht="12" customHeight="1" x14ac:dyDescent="0.25">
      <c r="A1438" s="9">
        <v>1436</v>
      </c>
      <c r="B1438" s="14" t="s">
        <v>3337</v>
      </c>
      <c r="C1438" s="14" t="s">
        <v>3338</v>
      </c>
      <c r="D1438" s="9" t="s">
        <v>77</v>
      </c>
      <c r="E1438" s="14" t="s">
        <v>3337</v>
      </c>
      <c r="F1438" s="12"/>
      <c r="G1438" s="9">
        <v>2023</v>
      </c>
      <c r="H1438" s="13">
        <v>0</v>
      </c>
      <c r="I1438" s="15" t="s">
        <v>45</v>
      </c>
      <c r="J1438" s="15" t="s">
        <v>3339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</row>
    <row r="1439" spans="1:35" s="14" customFormat="1" ht="12" customHeight="1" x14ac:dyDescent="0.25">
      <c r="A1439" s="9">
        <v>1437</v>
      </c>
      <c r="B1439" s="14" t="s">
        <v>3340</v>
      </c>
      <c r="C1439" s="14" t="s">
        <v>3341</v>
      </c>
      <c r="D1439" s="9" t="s">
        <v>23</v>
      </c>
      <c r="E1439" s="15" t="str">
        <f>B1439</f>
        <v>Sonidegib</v>
      </c>
      <c r="F1439" s="12">
        <f>DATE(2017,6,1)</f>
        <v>42887</v>
      </c>
      <c r="G1439" s="9">
        <v>2015</v>
      </c>
      <c r="H1439" s="13">
        <v>1</v>
      </c>
      <c r="I1439" s="15" t="s">
        <v>24</v>
      </c>
      <c r="J1439" s="15" t="s">
        <v>3342</v>
      </c>
    </row>
    <row r="1440" spans="1:35" s="14" customFormat="1" ht="12" customHeight="1" x14ac:dyDescent="0.25">
      <c r="A1440" s="9">
        <v>1438</v>
      </c>
      <c r="B1440" s="14" t="s">
        <v>3343</v>
      </c>
      <c r="C1440" s="14" t="s">
        <v>3344</v>
      </c>
      <c r="D1440" s="9" t="s">
        <v>44</v>
      </c>
      <c r="E1440" s="15" t="str">
        <f>B1440</f>
        <v>Sorafenib</v>
      </c>
      <c r="F1440" s="12">
        <f>DATE(2018,6,23)</f>
        <v>43274</v>
      </c>
      <c r="G1440" s="9">
        <v>2005</v>
      </c>
      <c r="H1440" s="13">
        <v>1</v>
      </c>
      <c r="I1440" s="15" t="s">
        <v>24</v>
      </c>
      <c r="J1440" s="15" t="s">
        <v>207</v>
      </c>
    </row>
    <row r="1441" spans="1:35" s="14" customFormat="1" ht="12" customHeight="1" x14ac:dyDescent="0.25">
      <c r="A1441" s="9">
        <v>1439</v>
      </c>
      <c r="B1441" s="14" t="s">
        <v>3345</v>
      </c>
      <c r="C1441" s="14" t="s">
        <v>3346</v>
      </c>
      <c r="D1441" s="9" t="s">
        <v>77</v>
      </c>
      <c r="E1441" s="14" t="s">
        <v>3345</v>
      </c>
      <c r="F1441" s="12"/>
      <c r="G1441" s="9">
        <v>2023</v>
      </c>
      <c r="H1441" s="13">
        <v>0</v>
      </c>
      <c r="I1441" s="15" t="s">
        <v>45</v>
      </c>
      <c r="J1441" s="15" t="s">
        <v>46</v>
      </c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</row>
    <row r="1442" spans="1:35" s="14" customFormat="1" ht="12" customHeight="1" x14ac:dyDescent="0.25">
      <c r="A1442" s="9">
        <v>1440</v>
      </c>
      <c r="B1442" s="14" t="s">
        <v>3347</v>
      </c>
      <c r="C1442" s="14" t="s">
        <v>3348</v>
      </c>
      <c r="D1442" s="9" t="s">
        <v>31</v>
      </c>
      <c r="E1442" s="15" t="str">
        <f>B1442</f>
        <v>Sotalol</v>
      </c>
      <c r="F1442" s="12">
        <f>DATE(2019,5,3)</f>
        <v>43588</v>
      </c>
      <c r="G1442" s="9">
        <v>1992</v>
      </c>
      <c r="H1442" s="13">
        <v>1</v>
      </c>
      <c r="I1442" s="15" t="s">
        <v>49</v>
      </c>
      <c r="J1442" s="15" t="s">
        <v>244</v>
      </c>
    </row>
    <row r="1443" spans="1:35" s="14" customFormat="1" ht="12" customHeight="1" x14ac:dyDescent="0.25">
      <c r="A1443" s="9">
        <v>1441</v>
      </c>
      <c r="B1443" s="14" t="s">
        <v>3349</v>
      </c>
      <c r="C1443" s="14" t="s">
        <v>3350</v>
      </c>
      <c r="D1443" s="9" t="s">
        <v>77</v>
      </c>
      <c r="E1443" s="14" t="s">
        <v>3349</v>
      </c>
      <c r="F1443" s="12"/>
      <c r="G1443" s="9">
        <v>2024</v>
      </c>
      <c r="H1443" s="13">
        <v>0</v>
      </c>
      <c r="I1443" s="14" t="s">
        <v>613</v>
      </c>
      <c r="J1443" s="14" t="s">
        <v>216</v>
      </c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</row>
    <row r="1444" spans="1:35" s="14" customFormat="1" ht="12" customHeight="1" x14ac:dyDescent="0.25">
      <c r="A1444" s="9">
        <v>1442</v>
      </c>
      <c r="B1444" s="14" t="s">
        <v>3351</v>
      </c>
      <c r="C1444" s="14" t="s">
        <v>3352</v>
      </c>
      <c r="D1444" s="9" t="s">
        <v>36</v>
      </c>
      <c r="E1444" s="15" t="s">
        <v>3351</v>
      </c>
      <c r="F1444" s="12">
        <f>DATE(2023,9,2)</f>
        <v>45171</v>
      </c>
      <c r="G1444" s="27">
        <v>2021</v>
      </c>
      <c r="H1444" s="13">
        <v>1</v>
      </c>
      <c r="I1444" s="15" t="s">
        <v>24</v>
      </c>
      <c r="J1444" s="15" t="s">
        <v>3353</v>
      </c>
    </row>
    <row r="1445" spans="1:35" s="14" customFormat="1" ht="12" customHeight="1" x14ac:dyDescent="0.25">
      <c r="A1445" s="9">
        <v>1443</v>
      </c>
      <c r="B1445" s="26" t="s">
        <v>3354</v>
      </c>
      <c r="C1445" s="24" t="s">
        <v>3355</v>
      </c>
      <c r="D1445" s="9" t="s">
        <v>31</v>
      </c>
      <c r="E1445" s="15" t="s">
        <v>464</v>
      </c>
      <c r="F1445" s="12">
        <v>44592</v>
      </c>
      <c r="G1445" s="27">
        <v>2021</v>
      </c>
      <c r="H1445" s="13">
        <v>1</v>
      </c>
      <c r="I1445" s="26" t="s">
        <v>15</v>
      </c>
      <c r="J1445" s="26" t="s">
        <v>465</v>
      </c>
    </row>
    <row r="1446" spans="1:35" s="14" customFormat="1" ht="12" customHeight="1" x14ac:dyDescent="0.25">
      <c r="A1446" s="9">
        <v>1444</v>
      </c>
      <c r="B1446" s="14" t="s">
        <v>3356</v>
      </c>
      <c r="C1446" s="14" t="s">
        <v>3357</v>
      </c>
      <c r="D1446" s="9" t="s">
        <v>77</v>
      </c>
      <c r="E1446" s="14" t="s">
        <v>3356</v>
      </c>
      <c r="F1446" s="12"/>
      <c r="G1446" s="9">
        <v>2023</v>
      </c>
      <c r="H1446" s="13">
        <v>1</v>
      </c>
      <c r="I1446" s="15" t="s">
        <v>390</v>
      </c>
      <c r="J1446" s="15" t="s">
        <v>391</v>
      </c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</row>
    <row r="1447" spans="1:35" s="14" customFormat="1" ht="12" customHeight="1" x14ac:dyDescent="0.25">
      <c r="A1447" s="9">
        <v>1445</v>
      </c>
      <c r="B1447" s="14" t="s">
        <v>3358</v>
      </c>
      <c r="C1447" s="14" t="s">
        <v>3359</v>
      </c>
      <c r="D1447" s="9" t="s">
        <v>77</v>
      </c>
      <c r="E1447" s="14" t="s">
        <v>3358</v>
      </c>
      <c r="F1447" s="9"/>
      <c r="G1447" s="9">
        <v>2022</v>
      </c>
      <c r="H1447" s="13">
        <v>0</v>
      </c>
      <c r="I1447" s="15" t="s">
        <v>32</v>
      </c>
      <c r="J1447" s="15" t="s">
        <v>3360</v>
      </c>
      <c r="K1447" s="13"/>
      <c r="L1447" s="13"/>
    </row>
    <row r="1448" spans="1:35" s="14" customFormat="1" ht="12" customHeight="1" x14ac:dyDescent="0.25">
      <c r="A1448" s="9">
        <v>1446</v>
      </c>
      <c r="B1448" s="14" t="s">
        <v>3361</v>
      </c>
      <c r="C1448" s="14" t="s">
        <v>3362</v>
      </c>
      <c r="D1448" s="9" t="s">
        <v>36</v>
      </c>
      <c r="E1448" s="15" t="str">
        <f>B1448</f>
        <v>Spironolactone</v>
      </c>
      <c r="F1448" s="12">
        <f>DATE(2021,1,13)</f>
        <v>44209</v>
      </c>
      <c r="G1448" s="9">
        <v>1960</v>
      </c>
      <c r="H1448" s="13">
        <v>1</v>
      </c>
      <c r="I1448" s="15" t="s">
        <v>49</v>
      </c>
      <c r="J1448" s="15" t="s">
        <v>59</v>
      </c>
    </row>
    <row r="1449" spans="1:35" s="14" customFormat="1" ht="12" customHeight="1" x14ac:dyDescent="0.25">
      <c r="A1449" s="9">
        <v>1447</v>
      </c>
      <c r="B1449" s="14" t="s">
        <v>3363</v>
      </c>
      <c r="C1449" s="14" t="s">
        <v>188</v>
      </c>
      <c r="D1449" s="9" t="s">
        <v>36</v>
      </c>
      <c r="E1449" s="15" t="str">
        <f>B1449</f>
        <v>Spirulina</v>
      </c>
      <c r="F1449" s="12">
        <f>DATE(2021,1,13)</f>
        <v>44209</v>
      </c>
      <c r="G1449" s="9" t="s">
        <v>174</v>
      </c>
      <c r="H1449" s="13">
        <v>1</v>
      </c>
      <c r="I1449" s="15" t="s">
        <v>175</v>
      </c>
      <c r="J1449" s="15" t="s">
        <v>3364</v>
      </c>
    </row>
    <row r="1450" spans="1:35" s="14" customFormat="1" ht="12" customHeight="1" x14ac:dyDescent="0.25">
      <c r="A1450" s="9">
        <v>1448</v>
      </c>
      <c r="B1450" s="14" t="s">
        <v>3365</v>
      </c>
      <c r="C1450" s="14" t="s">
        <v>188</v>
      </c>
      <c r="D1450" s="9" t="s">
        <v>36</v>
      </c>
      <c r="E1450" s="15" t="str">
        <f>B1450</f>
        <v>St John's Wort</v>
      </c>
      <c r="F1450" s="12">
        <f>DATE(2020,4,2)</f>
        <v>43923</v>
      </c>
      <c r="G1450" s="9" t="s">
        <v>174</v>
      </c>
      <c r="H1450" s="13">
        <v>1</v>
      </c>
      <c r="I1450" s="15" t="s">
        <v>175</v>
      </c>
      <c r="J1450" s="15" t="s">
        <v>250</v>
      </c>
    </row>
    <row r="1451" spans="1:35" s="14" customFormat="1" ht="12" customHeight="1" x14ac:dyDescent="0.25">
      <c r="A1451" s="9">
        <v>1449</v>
      </c>
      <c r="B1451" s="14" t="s">
        <v>3366</v>
      </c>
      <c r="C1451" s="14" t="s">
        <v>3367</v>
      </c>
      <c r="D1451" s="9" t="s">
        <v>166</v>
      </c>
      <c r="E1451" s="15" t="s">
        <v>1085</v>
      </c>
      <c r="F1451" s="12">
        <f>DATE(2020,5,24)</f>
        <v>43975</v>
      </c>
      <c r="G1451" s="9">
        <v>1962</v>
      </c>
      <c r="H1451" s="13">
        <v>1</v>
      </c>
      <c r="I1451" s="15" t="s">
        <v>45</v>
      </c>
      <c r="J1451" s="15" t="s">
        <v>291</v>
      </c>
    </row>
    <row r="1452" spans="1:35" s="14" customFormat="1" ht="12" customHeight="1" x14ac:dyDescent="0.25">
      <c r="A1452" s="9">
        <v>1450</v>
      </c>
      <c r="B1452" s="14" t="s">
        <v>3368</v>
      </c>
      <c r="C1452" s="14" t="s">
        <v>3369</v>
      </c>
      <c r="D1452" s="9" t="s">
        <v>166</v>
      </c>
      <c r="E1452" s="15" t="str">
        <f>B1452</f>
        <v>Stavudine</v>
      </c>
      <c r="F1452" s="12">
        <f>DATE(2020,7,1)</f>
        <v>44013</v>
      </c>
      <c r="G1452" s="9">
        <v>1994</v>
      </c>
      <c r="H1452" s="13">
        <v>1</v>
      </c>
      <c r="I1452" s="15" t="s">
        <v>15</v>
      </c>
      <c r="J1452" s="15" t="s">
        <v>16</v>
      </c>
    </row>
    <row r="1453" spans="1:35" s="14" customFormat="1" ht="12" customHeight="1" x14ac:dyDescent="0.25">
      <c r="A1453" s="9">
        <v>1451</v>
      </c>
      <c r="B1453" s="15" t="s">
        <v>3370</v>
      </c>
      <c r="C1453" s="15" t="s">
        <v>3371</v>
      </c>
      <c r="D1453" s="9" t="s">
        <v>14</v>
      </c>
      <c r="E1453" s="14" t="s">
        <v>287</v>
      </c>
      <c r="F1453" s="12">
        <f>DATE(2025,9,20)</f>
        <v>45920</v>
      </c>
      <c r="G1453" s="9" t="s">
        <v>174</v>
      </c>
      <c r="H1453" s="13">
        <v>1</v>
      </c>
      <c r="I1453" s="15" t="s">
        <v>45</v>
      </c>
      <c r="J1453" s="13" t="s">
        <v>288</v>
      </c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</row>
    <row r="1454" spans="1:35" s="14" customFormat="1" ht="12" customHeight="1" x14ac:dyDescent="0.25">
      <c r="A1454" s="9">
        <v>1452</v>
      </c>
      <c r="B1454" s="14" t="s">
        <v>3372</v>
      </c>
      <c r="C1454" s="15" t="s">
        <v>3373</v>
      </c>
      <c r="D1454" s="9" t="s">
        <v>31</v>
      </c>
      <c r="E1454" s="15" t="s">
        <v>3372</v>
      </c>
      <c r="F1454" s="12">
        <f>DATE(2023,3,3)</f>
        <v>44988</v>
      </c>
      <c r="G1454" s="9" t="s">
        <v>174</v>
      </c>
      <c r="H1454" s="13">
        <v>1</v>
      </c>
      <c r="I1454" s="15" t="s">
        <v>175</v>
      </c>
      <c r="J1454" s="15" t="s">
        <v>152</v>
      </c>
    </row>
    <row r="1455" spans="1:35" s="14" customFormat="1" ht="12" customHeight="1" x14ac:dyDescent="0.3">
      <c r="A1455" s="9">
        <v>1453</v>
      </c>
      <c r="B1455" s="14" t="s">
        <v>3374</v>
      </c>
      <c r="C1455" s="23" t="s">
        <v>3375</v>
      </c>
      <c r="D1455" s="9" t="s">
        <v>31</v>
      </c>
      <c r="E1455" s="15" t="str">
        <f>B1455</f>
        <v>Stiripentol</v>
      </c>
      <c r="F1455" s="12">
        <f>DATE(2019,3,20)</f>
        <v>43544</v>
      </c>
      <c r="G1455" s="9">
        <v>2018</v>
      </c>
      <c r="H1455" s="13">
        <v>1</v>
      </c>
      <c r="I1455" s="15" t="s">
        <v>104</v>
      </c>
      <c r="J1455" s="15" t="s">
        <v>3376</v>
      </c>
    </row>
    <row r="1456" spans="1:35" s="14" customFormat="1" ht="12" customHeight="1" x14ac:dyDescent="0.25">
      <c r="A1456" s="9">
        <v>1454</v>
      </c>
      <c r="B1456" s="14" t="s">
        <v>3377</v>
      </c>
      <c r="C1456" s="14" t="s">
        <v>188</v>
      </c>
      <c r="D1456" s="9" t="s">
        <v>23</v>
      </c>
      <c r="E1456" s="15" t="str">
        <f>B1456</f>
        <v>Streptomycin</v>
      </c>
      <c r="F1456" s="12">
        <f>DATE(2021,9,20)</f>
        <v>44459</v>
      </c>
      <c r="G1456" s="9">
        <v>1946</v>
      </c>
      <c r="H1456" s="13">
        <v>1</v>
      </c>
      <c r="I1456" s="15" t="s">
        <v>15</v>
      </c>
      <c r="J1456" s="15" t="s">
        <v>241</v>
      </c>
    </row>
    <row r="1457" spans="1:35" s="14" customFormat="1" ht="12" customHeight="1" x14ac:dyDescent="0.25">
      <c r="A1457" s="9">
        <v>1455</v>
      </c>
      <c r="B1457" s="14" t="s">
        <v>3378</v>
      </c>
      <c r="C1457" s="14" t="s">
        <v>3379</v>
      </c>
      <c r="D1457" s="9" t="s">
        <v>36</v>
      </c>
      <c r="E1457" s="15" t="str">
        <f>B1457</f>
        <v>Streptozocin</v>
      </c>
      <c r="F1457" s="12">
        <f>DATE(2016,9,5)</f>
        <v>42618</v>
      </c>
      <c r="G1457" s="9">
        <v>1992</v>
      </c>
      <c r="H1457" s="13">
        <v>1</v>
      </c>
      <c r="I1457" s="15" t="s">
        <v>24</v>
      </c>
      <c r="J1457" s="15" t="s">
        <v>3380</v>
      </c>
    </row>
    <row r="1458" spans="1:35" s="14" customFormat="1" ht="12" customHeight="1" x14ac:dyDescent="0.25">
      <c r="A1458" s="9">
        <v>1456</v>
      </c>
      <c r="B1458" s="14" t="s">
        <v>3381</v>
      </c>
      <c r="C1458" s="14" t="s">
        <v>3382</v>
      </c>
      <c r="D1458" s="9" t="s">
        <v>31</v>
      </c>
      <c r="E1458" s="15" t="str">
        <f>B1458</f>
        <v>Succimer</v>
      </c>
      <c r="F1458" s="12">
        <f>DATE(2020,8,15)</f>
        <v>44058</v>
      </c>
      <c r="G1458" s="9">
        <v>1991</v>
      </c>
      <c r="H1458" s="13">
        <v>1</v>
      </c>
      <c r="I1458" s="15" t="s">
        <v>66</v>
      </c>
      <c r="J1458" s="15" t="s">
        <v>3383</v>
      </c>
    </row>
    <row r="1459" spans="1:35" s="14" customFormat="1" ht="12" customHeight="1" x14ac:dyDescent="0.25">
      <c r="A1459" s="9">
        <v>1457</v>
      </c>
      <c r="B1459" s="14" t="s">
        <v>3384</v>
      </c>
      <c r="C1459" s="14" t="s">
        <v>3385</v>
      </c>
      <c r="D1459" s="9" t="s">
        <v>31</v>
      </c>
      <c r="E1459" s="15" t="s">
        <v>3386</v>
      </c>
      <c r="F1459" s="12"/>
      <c r="G1459" s="9">
        <v>1981</v>
      </c>
      <c r="H1459" s="13">
        <v>0</v>
      </c>
      <c r="I1459" s="15" t="s">
        <v>182</v>
      </c>
      <c r="J1459" s="15" t="s">
        <v>918</v>
      </c>
    </row>
    <row r="1460" spans="1:35" s="14" customFormat="1" ht="12" customHeight="1" x14ac:dyDescent="0.25">
      <c r="A1460" s="9">
        <v>1458</v>
      </c>
      <c r="B1460" s="14" t="s">
        <v>3387</v>
      </c>
      <c r="C1460" s="14" t="s">
        <v>3388</v>
      </c>
      <c r="D1460" s="9" t="s">
        <v>31</v>
      </c>
      <c r="E1460" s="15" t="s">
        <v>147</v>
      </c>
      <c r="F1460" s="12">
        <f>DATE(2019,4,25)</f>
        <v>43580</v>
      </c>
      <c r="G1460" s="9">
        <v>1984</v>
      </c>
      <c r="H1460" s="13">
        <v>1</v>
      </c>
      <c r="I1460" s="15" t="s">
        <v>54</v>
      </c>
      <c r="J1460" s="15" t="s">
        <v>148</v>
      </c>
    </row>
    <row r="1461" spans="1:35" s="14" customFormat="1" ht="12" customHeight="1" x14ac:dyDescent="0.25">
      <c r="A1461" s="9">
        <v>1459</v>
      </c>
      <c r="B1461" s="14" t="s">
        <v>3389</v>
      </c>
      <c r="C1461" s="14" t="s">
        <v>3390</v>
      </c>
      <c r="D1461" s="9" t="s">
        <v>31</v>
      </c>
      <c r="E1461" s="15" t="s">
        <v>3391</v>
      </c>
      <c r="F1461" s="12">
        <f>DATE(2020,11,14)</f>
        <v>44149</v>
      </c>
      <c r="G1461" s="9">
        <v>1986</v>
      </c>
      <c r="H1461" s="13">
        <v>1</v>
      </c>
      <c r="I1461" s="15" t="s">
        <v>15</v>
      </c>
      <c r="J1461" s="15" t="s">
        <v>225</v>
      </c>
    </row>
    <row r="1462" spans="1:35" s="14" customFormat="1" ht="12" customHeight="1" x14ac:dyDescent="0.25">
      <c r="A1462" s="9">
        <v>1460</v>
      </c>
      <c r="B1462" s="14" t="s">
        <v>3392</v>
      </c>
      <c r="C1462" s="14" t="s">
        <v>3393</v>
      </c>
      <c r="D1462" s="9" t="s">
        <v>166</v>
      </c>
      <c r="E1462" s="15" t="str">
        <f>B1462</f>
        <v>Sulfadiazine</v>
      </c>
      <c r="F1462" s="12">
        <f t="shared" ref="F1462:F1470" si="35">DATE(2019,12,5)</f>
        <v>43804</v>
      </c>
      <c r="G1462" s="9">
        <v>1973</v>
      </c>
      <c r="H1462" s="13">
        <v>1</v>
      </c>
      <c r="I1462" s="15" t="s">
        <v>15</v>
      </c>
      <c r="J1462" s="15" t="s">
        <v>225</v>
      </c>
    </row>
    <row r="1463" spans="1:35" s="14" customFormat="1" ht="12" customHeight="1" x14ac:dyDescent="0.25">
      <c r="A1463" s="9">
        <v>1461</v>
      </c>
      <c r="B1463" s="14" t="s">
        <v>3394</v>
      </c>
      <c r="C1463" s="14" t="s">
        <v>3395</v>
      </c>
      <c r="D1463" s="9" t="s">
        <v>14</v>
      </c>
      <c r="E1463" s="15" t="str">
        <f>B1463</f>
        <v>Sulfadoxine</v>
      </c>
      <c r="F1463" s="12">
        <f t="shared" si="35"/>
        <v>43804</v>
      </c>
      <c r="G1463" s="9">
        <v>1981</v>
      </c>
      <c r="H1463" s="13">
        <v>1</v>
      </c>
      <c r="I1463" s="15" t="s">
        <v>15</v>
      </c>
      <c r="J1463" s="15" t="s">
        <v>225</v>
      </c>
    </row>
    <row r="1464" spans="1:35" s="14" customFormat="1" ht="12" customHeight="1" x14ac:dyDescent="0.25">
      <c r="A1464" s="9">
        <v>1462</v>
      </c>
      <c r="B1464" s="14" t="s">
        <v>3396</v>
      </c>
      <c r="C1464" s="14" t="s">
        <v>3397</v>
      </c>
      <c r="D1464" s="9" t="s">
        <v>166</v>
      </c>
      <c r="E1464" s="15" t="s">
        <v>3398</v>
      </c>
      <c r="F1464" s="12">
        <f t="shared" si="35"/>
        <v>43804</v>
      </c>
      <c r="G1464" s="9" t="s">
        <v>63</v>
      </c>
      <c r="H1464" s="13">
        <v>1</v>
      </c>
      <c r="I1464" s="15" t="s">
        <v>15</v>
      </c>
      <c r="J1464" s="15" t="s">
        <v>225</v>
      </c>
    </row>
    <row r="1465" spans="1:35" s="14" customFormat="1" ht="12" customHeight="1" x14ac:dyDescent="0.25">
      <c r="A1465" s="9">
        <v>1463</v>
      </c>
      <c r="B1465" s="14" t="s">
        <v>3399</v>
      </c>
      <c r="C1465" s="14" t="s">
        <v>3400</v>
      </c>
      <c r="D1465" s="9" t="s">
        <v>166</v>
      </c>
      <c r="E1465" s="15" t="str">
        <f>B1465</f>
        <v>Sulfamethazine</v>
      </c>
      <c r="F1465" s="12">
        <f t="shared" si="35"/>
        <v>43804</v>
      </c>
      <c r="G1465" s="9" t="s">
        <v>63</v>
      </c>
      <c r="H1465" s="13">
        <v>1</v>
      </c>
      <c r="I1465" s="15" t="s">
        <v>15</v>
      </c>
      <c r="J1465" s="15" t="s">
        <v>225</v>
      </c>
    </row>
    <row r="1466" spans="1:35" s="14" customFormat="1" ht="12" customHeight="1" x14ac:dyDescent="0.25">
      <c r="A1466" s="9">
        <v>1464</v>
      </c>
      <c r="B1466" s="14" t="s">
        <v>3401</v>
      </c>
      <c r="C1466" s="14" t="s">
        <v>3402</v>
      </c>
      <c r="D1466" s="9" t="s">
        <v>166</v>
      </c>
      <c r="E1466" s="15" t="s">
        <v>3398</v>
      </c>
      <c r="F1466" s="12">
        <f t="shared" si="35"/>
        <v>43804</v>
      </c>
      <c r="G1466" s="9" t="s">
        <v>63</v>
      </c>
      <c r="H1466" s="13">
        <v>1</v>
      </c>
      <c r="I1466" s="15" t="s">
        <v>15</v>
      </c>
      <c r="J1466" s="15" t="s">
        <v>225</v>
      </c>
    </row>
    <row r="1467" spans="1:35" s="14" customFormat="1" ht="12" customHeight="1" x14ac:dyDescent="0.25">
      <c r="A1467" s="9">
        <v>1465</v>
      </c>
      <c r="B1467" s="14" t="s">
        <v>3403</v>
      </c>
      <c r="C1467" s="14" t="s">
        <v>3404</v>
      </c>
      <c r="D1467" s="9" t="s">
        <v>166</v>
      </c>
      <c r="E1467" s="15" t="str">
        <f>B1467</f>
        <v>Sulfamethoxazole</v>
      </c>
      <c r="F1467" s="12">
        <f t="shared" si="35"/>
        <v>43804</v>
      </c>
      <c r="G1467" s="9">
        <v>1980</v>
      </c>
      <c r="H1467" s="13">
        <v>1</v>
      </c>
      <c r="I1467" s="15" t="s">
        <v>15</v>
      </c>
      <c r="J1467" s="15" t="s">
        <v>225</v>
      </c>
    </row>
    <row r="1468" spans="1:35" s="14" customFormat="1" ht="12" customHeight="1" x14ac:dyDescent="0.25">
      <c r="A1468" s="9">
        <v>1466</v>
      </c>
      <c r="B1468" s="14" t="s">
        <v>3405</v>
      </c>
      <c r="C1468" s="14" t="s">
        <v>3406</v>
      </c>
      <c r="D1468" s="9" t="s">
        <v>166</v>
      </c>
      <c r="E1468" s="15" t="str">
        <f>B1468</f>
        <v>Sulfasalazine</v>
      </c>
      <c r="F1468" s="12">
        <f t="shared" si="35"/>
        <v>43804</v>
      </c>
      <c r="G1468" s="9">
        <v>1950</v>
      </c>
      <c r="H1468" s="13">
        <v>1</v>
      </c>
      <c r="I1468" s="15" t="s">
        <v>182</v>
      </c>
      <c r="J1468" s="15" t="s">
        <v>461</v>
      </c>
    </row>
    <row r="1469" spans="1:35" s="14" customFormat="1" ht="12" customHeight="1" x14ac:dyDescent="0.25">
      <c r="A1469" s="9">
        <v>1467</v>
      </c>
      <c r="B1469" s="14" t="s">
        <v>3407</v>
      </c>
      <c r="C1469" s="14" t="s">
        <v>3408</v>
      </c>
      <c r="D1469" s="9" t="s">
        <v>166</v>
      </c>
      <c r="E1469" s="15" t="s">
        <v>3398</v>
      </c>
      <c r="F1469" s="12">
        <f t="shared" si="35"/>
        <v>43804</v>
      </c>
      <c r="G1469" s="9">
        <v>1959</v>
      </c>
      <c r="H1469" s="13">
        <v>1</v>
      </c>
      <c r="I1469" s="15" t="s">
        <v>15</v>
      </c>
      <c r="J1469" s="15" t="s">
        <v>225</v>
      </c>
    </row>
    <row r="1470" spans="1:35" s="14" customFormat="1" ht="12" customHeight="1" x14ac:dyDescent="0.25">
      <c r="A1470" s="9">
        <v>1468</v>
      </c>
      <c r="B1470" s="14" t="s">
        <v>3409</v>
      </c>
      <c r="C1470" s="14" t="s">
        <v>3410</v>
      </c>
      <c r="D1470" s="9" t="s">
        <v>166</v>
      </c>
      <c r="E1470" s="15" t="s">
        <v>3398</v>
      </c>
      <c r="F1470" s="12">
        <f t="shared" si="35"/>
        <v>43804</v>
      </c>
      <c r="G1470" s="9">
        <v>1973</v>
      </c>
      <c r="H1470" s="13">
        <v>1</v>
      </c>
      <c r="I1470" s="15" t="s">
        <v>15</v>
      </c>
      <c r="J1470" s="15" t="s">
        <v>225</v>
      </c>
    </row>
    <row r="1471" spans="1:35" s="14" customFormat="1" ht="12" customHeight="1" x14ac:dyDescent="0.25">
      <c r="A1471" s="9">
        <v>1469</v>
      </c>
      <c r="B1471" s="14" t="s">
        <v>3411</v>
      </c>
      <c r="C1471" s="14" t="s">
        <v>3412</v>
      </c>
      <c r="D1471" s="9" t="s">
        <v>166</v>
      </c>
      <c r="E1471" s="15" t="str">
        <f>B1471</f>
        <v>Sulindac</v>
      </c>
      <c r="F1471" s="12">
        <f>DATE(2025,7,25)</f>
        <v>45863</v>
      </c>
      <c r="G1471" s="9">
        <v>1978</v>
      </c>
      <c r="H1471" s="13">
        <v>1</v>
      </c>
      <c r="I1471" s="15" t="s">
        <v>54</v>
      </c>
      <c r="J1471" s="15" t="s">
        <v>55</v>
      </c>
    </row>
    <row r="1472" spans="1:35" s="14" customFormat="1" ht="12" customHeight="1" x14ac:dyDescent="0.25">
      <c r="A1472" s="9">
        <v>1470</v>
      </c>
      <c r="B1472" s="14" t="s">
        <v>3413</v>
      </c>
      <c r="C1472" s="14" t="s">
        <v>3414</v>
      </c>
      <c r="D1472" s="9" t="s">
        <v>77</v>
      </c>
      <c r="E1472" s="14" t="s">
        <v>3413</v>
      </c>
      <c r="F1472" s="12"/>
      <c r="G1472" s="9">
        <v>2024</v>
      </c>
      <c r="H1472" s="13">
        <v>0</v>
      </c>
      <c r="I1472" s="14" t="s">
        <v>15</v>
      </c>
      <c r="J1472" s="14" t="s">
        <v>3415</v>
      </c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</row>
    <row r="1473" spans="1:35" s="14" customFormat="1" ht="12" customHeight="1" x14ac:dyDescent="0.25">
      <c r="A1473" s="9">
        <v>1471</v>
      </c>
      <c r="B1473" s="14" t="s">
        <v>3416</v>
      </c>
      <c r="C1473" s="14" t="s">
        <v>3417</v>
      </c>
      <c r="D1473" s="9" t="s">
        <v>31</v>
      </c>
      <c r="E1473" s="15" t="s">
        <v>170</v>
      </c>
      <c r="F1473" s="12">
        <f>DATE(2018,2,10)</f>
        <v>43141</v>
      </c>
      <c r="G1473" s="9">
        <v>1997</v>
      </c>
      <c r="H1473" s="13">
        <v>1</v>
      </c>
      <c r="I1473" s="15" t="s">
        <v>100</v>
      </c>
      <c r="J1473" s="15" t="s">
        <v>171</v>
      </c>
    </row>
    <row r="1474" spans="1:35" s="14" customFormat="1" x14ac:dyDescent="0.25">
      <c r="A1474" s="9">
        <v>1472</v>
      </c>
      <c r="B1474" s="14" t="s">
        <v>3418</v>
      </c>
      <c r="C1474" s="14" t="s">
        <v>3419</v>
      </c>
      <c r="D1474" s="13" t="s">
        <v>44</v>
      </c>
      <c r="E1474" s="15" t="str">
        <f>B1474</f>
        <v>Sunitinib</v>
      </c>
      <c r="F1474" s="20">
        <f>DATE(2018,6,23)</f>
        <v>43274</v>
      </c>
      <c r="G1474" s="13">
        <v>2006</v>
      </c>
      <c r="H1474" s="13">
        <v>1</v>
      </c>
      <c r="I1474" s="15" t="s">
        <v>24</v>
      </c>
      <c r="J1474" s="15" t="s">
        <v>357</v>
      </c>
    </row>
    <row r="1475" spans="1:35" s="14" customFormat="1" x14ac:dyDescent="0.25">
      <c r="A1475" s="9">
        <v>1473</v>
      </c>
      <c r="B1475" s="14" t="s">
        <v>3420</v>
      </c>
      <c r="C1475" s="14" t="s">
        <v>3421</v>
      </c>
      <c r="D1475" s="13" t="s">
        <v>77</v>
      </c>
      <c r="E1475" s="14" t="s">
        <v>3420</v>
      </c>
      <c r="F1475" s="13"/>
      <c r="G1475" s="13">
        <v>2022</v>
      </c>
      <c r="H1475" s="13">
        <v>0</v>
      </c>
      <c r="I1475" s="15" t="s">
        <v>230</v>
      </c>
      <c r="J1475" s="15" t="s">
        <v>3422</v>
      </c>
      <c r="K1475" s="13"/>
      <c r="L1475" s="13"/>
    </row>
    <row r="1476" spans="1:35" s="14" customFormat="1" x14ac:dyDescent="0.25">
      <c r="A1476" s="9">
        <v>1474</v>
      </c>
      <c r="B1476" s="14" t="s">
        <v>3423</v>
      </c>
      <c r="C1476" s="14" t="s">
        <v>3424</v>
      </c>
      <c r="D1476" s="13" t="s">
        <v>31</v>
      </c>
      <c r="E1476" s="15" t="str">
        <f>B1476</f>
        <v>Suvorexant</v>
      </c>
      <c r="F1476" s="20">
        <f>DATE(2025,2,5)</f>
        <v>45693</v>
      </c>
      <c r="G1476" s="13">
        <v>2014</v>
      </c>
      <c r="H1476" s="13">
        <v>1</v>
      </c>
      <c r="I1476" s="15" t="s">
        <v>100</v>
      </c>
      <c r="J1476" s="15" t="s">
        <v>2019</v>
      </c>
    </row>
    <row r="1477" spans="1:35" s="14" customFormat="1" x14ac:dyDescent="0.25">
      <c r="A1477" s="9">
        <v>1475</v>
      </c>
      <c r="B1477" s="15" t="s">
        <v>3425</v>
      </c>
      <c r="C1477" s="14" t="s">
        <v>3426</v>
      </c>
      <c r="D1477" s="13" t="s">
        <v>31</v>
      </c>
      <c r="E1477" s="15" t="s">
        <v>3425</v>
      </c>
      <c r="F1477" s="20">
        <f>DATE(2025,5,10)</f>
        <v>45787</v>
      </c>
      <c r="G1477" s="13">
        <v>2025</v>
      </c>
      <c r="H1477" s="13">
        <v>1</v>
      </c>
      <c r="I1477" s="15" t="s">
        <v>100</v>
      </c>
      <c r="J1477" s="15" t="s">
        <v>3427</v>
      </c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</row>
    <row r="1478" spans="1:35" s="14" customFormat="1" ht="12.5" x14ac:dyDescent="0.25">
      <c r="A1478" s="9">
        <v>1476</v>
      </c>
      <c r="B1478" s="15" t="s">
        <v>3425</v>
      </c>
      <c r="C1478" s="15" t="s">
        <v>3426</v>
      </c>
      <c r="D1478" s="13" t="s">
        <v>31</v>
      </c>
      <c r="E1478" s="14" t="s">
        <v>3425</v>
      </c>
      <c r="F1478" s="20">
        <f>DATE(2025,5,10)</f>
        <v>45787</v>
      </c>
      <c r="G1478" s="13">
        <v>2025</v>
      </c>
      <c r="H1478" s="13">
        <v>1</v>
      </c>
      <c r="I1478" s="15" t="s">
        <v>54</v>
      </c>
      <c r="J1478" s="13" t="s">
        <v>3428</v>
      </c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</row>
    <row r="1479" spans="1:35" s="14" customFormat="1" x14ac:dyDescent="0.25">
      <c r="A1479" s="9">
        <v>1477</v>
      </c>
      <c r="B1479" s="14" t="s">
        <v>3429</v>
      </c>
      <c r="C1479" s="14" t="s">
        <v>3430</v>
      </c>
      <c r="D1479" s="13" t="s">
        <v>166</v>
      </c>
      <c r="E1479" s="15" t="str">
        <f>B1479</f>
        <v>Tacrine</v>
      </c>
      <c r="F1479" s="20">
        <f>DATE(2020,1,15)</f>
        <v>43845</v>
      </c>
      <c r="G1479" s="13">
        <v>1993</v>
      </c>
      <c r="H1479" s="13">
        <v>1</v>
      </c>
      <c r="I1479" s="15" t="s">
        <v>100</v>
      </c>
      <c r="J1479" s="15" t="s">
        <v>101</v>
      </c>
    </row>
    <row r="1480" spans="1:35" s="14" customFormat="1" x14ac:dyDescent="0.25">
      <c r="A1480" s="9">
        <v>1478</v>
      </c>
      <c r="B1480" s="14" t="s">
        <v>3431</v>
      </c>
      <c r="C1480" s="14" t="s">
        <v>3432</v>
      </c>
      <c r="D1480" s="13" t="s">
        <v>14</v>
      </c>
      <c r="E1480" s="15" t="str">
        <f>B1480</f>
        <v>Tacrolimus</v>
      </c>
      <c r="F1480" s="20">
        <f>DATE(2020,2,18)</f>
        <v>43879</v>
      </c>
      <c r="G1480" s="13">
        <v>1994</v>
      </c>
      <c r="H1480" s="13">
        <v>1</v>
      </c>
      <c r="I1480" s="15" t="s">
        <v>139</v>
      </c>
      <c r="J1480" s="15" t="s">
        <v>140</v>
      </c>
    </row>
    <row r="1481" spans="1:35" s="14" customFormat="1" x14ac:dyDescent="0.25">
      <c r="A1481" s="9">
        <v>1479</v>
      </c>
      <c r="B1481" s="14" t="s">
        <v>3433</v>
      </c>
      <c r="C1481" s="14" t="s">
        <v>3434</v>
      </c>
      <c r="D1481" s="13" t="s">
        <v>36</v>
      </c>
      <c r="E1481" s="15" t="str">
        <f>B1481</f>
        <v>Tadalafil</v>
      </c>
      <c r="F1481" s="20">
        <f>DATE(2017,8,3)</f>
        <v>42950</v>
      </c>
      <c r="G1481" s="13">
        <v>2003</v>
      </c>
      <c r="H1481" s="13">
        <v>1</v>
      </c>
      <c r="I1481" s="15" t="s">
        <v>151</v>
      </c>
      <c r="J1481" s="15" t="s">
        <v>414</v>
      </c>
    </row>
    <row r="1482" spans="1:35" s="14" customFormat="1" x14ac:dyDescent="0.25">
      <c r="A1482" s="9">
        <v>1480</v>
      </c>
      <c r="B1482" s="15" t="s">
        <v>3435</v>
      </c>
      <c r="C1482" s="14" t="s">
        <v>3436</v>
      </c>
      <c r="D1482" s="13" t="s">
        <v>31</v>
      </c>
      <c r="E1482" s="15" t="s">
        <v>3435</v>
      </c>
      <c r="F1482" s="20">
        <f>DATE(2025,2,25)</f>
        <v>45713</v>
      </c>
      <c r="G1482" s="13">
        <v>2019</v>
      </c>
      <c r="H1482" s="13">
        <v>1</v>
      </c>
      <c r="I1482" s="15" t="s">
        <v>324</v>
      </c>
      <c r="J1482" s="15" t="s">
        <v>3437</v>
      </c>
      <c r="K1482" s="13"/>
    </row>
    <row r="1483" spans="1:35" s="14" customFormat="1" x14ac:dyDescent="0.25">
      <c r="A1483" s="9">
        <v>1481</v>
      </c>
      <c r="B1483" s="14" t="s">
        <v>3438</v>
      </c>
      <c r="C1483" s="14" t="s">
        <v>3439</v>
      </c>
      <c r="D1483" s="13" t="s">
        <v>31</v>
      </c>
      <c r="E1483" s="15" t="s">
        <v>3438</v>
      </c>
      <c r="F1483" s="20">
        <f>DATE(2024,5,14)</f>
        <v>45426</v>
      </c>
      <c r="G1483" s="16">
        <v>2020</v>
      </c>
      <c r="H1483" s="13">
        <v>1</v>
      </c>
      <c r="I1483" s="15" t="s">
        <v>24</v>
      </c>
      <c r="J1483" s="15" t="s">
        <v>2945</v>
      </c>
    </row>
    <row r="1484" spans="1:35" s="14" customFormat="1" x14ac:dyDescent="0.25">
      <c r="A1484" s="9">
        <v>1482</v>
      </c>
      <c r="B1484" s="14" t="s">
        <v>3440</v>
      </c>
      <c r="C1484" s="14" t="s">
        <v>3441</v>
      </c>
      <c r="D1484" s="13" t="s">
        <v>31</v>
      </c>
      <c r="E1484" s="15" t="str">
        <f>B1484</f>
        <v>Tafenoquine</v>
      </c>
      <c r="F1484" s="20">
        <f>DATE(2019,1,15)</f>
        <v>43480</v>
      </c>
      <c r="G1484" s="13">
        <v>2018</v>
      </c>
      <c r="H1484" s="13">
        <v>1</v>
      </c>
      <c r="I1484" s="15" t="s">
        <v>15</v>
      </c>
      <c r="J1484" s="15" t="s">
        <v>344</v>
      </c>
    </row>
    <row r="1485" spans="1:35" s="14" customFormat="1" x14ac:dyDescent="0.25">
      <c r="A1485" s="9">
        <v>1483</v>
      </c>
      <c r="B1485" s="14" t="s">
        <v>3442</v>
      </c>
      <c r="C1485" s="14" t="s">
        <v>3443</v>
      </c>
      <c r="D1485" s="13" t="s">
        <v>23</v>
      </c>
      <c r="E1485" s="15" t="str">
        <f>B1485</f>
        <v>Tagraxofusp</v>
      </c>
      <c r="F1485" s="20">
        <f>DATE(2019,4,15)</f>
        <v>43570</v>
      </c>
      <c r="G1485" s="13">
        <v>2018</v>
      </c>
      <c r="H1485" s="13">
        <v>1</v>
      </c>
      <c r="I1485" s="15" t="s">
        <v>24</v>
      </c>
      <c r="J1485" s="15" t="s">
        <v>3444</v>
      </c>
    </row>
    <row r="1486" spans="1:35" s="14" customFormat="1" ht="12" x14ac:dyDescent="0.3">
      <c r="A1486" s="9">
        <v>1484</v>
      </c>
      <c r="B1486" s="14" t="s">
        <v>3445</v>
      </c>
      <c r="C1486" s="23" t="s">
        <v>3446</v>
      </c>
      <c r="D1486" s="13" t="s">
        <v>23</v>
      </c>
      <c r="E1486" s="15" t="str">
        <f>B1486</f>
        <v>Talazoparib</v>
      </c>
      <c r="F1486" s="20">
        <f>DATE(2019,1,24)</f>
        <v>43489</v>
      </c>
      <c r="G1486" s="13">
        <v>2018</v>
      </c>
      <c r="H1486" s="13">
        <v>1</v>
      </c>
      <c r="I1486" s="15" t="s">
        <v>24</v>
      </c>
      <c r="J1486" s="15" t="s">
        <v>3447</v>
      </c>
    </row>
    <row r="1487" spans="1:35" s="14" customFormat="1" ht="13" x14ac:dyDescent="0.3">
      <c r="A1487" s="9">
        <v>1485</v>
      </c>
      <c r="B1487" s="14" t="s">
        <v>3448</v>
      </c>
      <c r="C1487" s="14" t="s">
        <v>3449</v>
      </c>
      <c r="D1487" s="13" t="s">
        <v>77</v>
      </c>
      <c r="E1487" s="14" t="s">
        <v>3448</v>
      </c>
      <c r="F1487" s="13"/>
      <c r="G1487" s="13">
        <v>2025</v>
      </c>
      <c r="H1487" s="16">
        <v>0</v>
      </c>
      <c r="I1487" s="14" t="s">
        <v>24</v>
      </c>
      <c r="J1487" s="14" t="s">
        <v>3450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</row>
    <row r="1488" spans="1:35" s="14" customFormat="1" x14ac:dyDescent="0.25">
      <c r="A1488" s="9">
        <v>1486</v>
      </c>
      <c r="B1488" s="15" t="s">
        <v>3451</v>
      </c>
      <c r="C1488" s="15" t="s">
        <v>3452</v>
      </c>
      <c r="D1488" s="13" t="s">
        <v>31</v>
      </c>
      <c r="E1488" s="15" t="s">
        <v>1801</v>
      </c>
      <c r="F1488" s="20">
        <f>DATE(2018,3,5)</f>
        <v>43164</v>
      </c>
      <c r="G1488" s="13">
        <v>2012</v>
      </c>
      <c r="H1488" s="13">
        <v>1</v>
      </c>
      <c r="I1488" s="15" t="s">
        <v>104</v>
      </c>
      <c r="J1488" s="15" t="s">
        <v>155</v>
      </c>
    </row>
    <row r="1489" spans="1:35" s="14" customFormat="1" x14ac:dyDescent="0.25">
      <c r="A1489" s="9">
        <v>1487</v>
      </c>
      <c r="B1489" s="14" t="s">
        <v>3453</v>
      </c>
      <c r="C1489" s="14" t="s">
        <v>3454</v>
      </c>
      <c r="D1489" s="13" t="s">
        <v>77</v>
      </c>
      <c r="E1489" s="14" t="s">
        <v>3453</v>
      </c>
      <c r="F1489" s="20"/>
      <c r="G1489" s="13">
        <v>2023</v>
      </c>
      <c r="H1489" s="13">
        <v>0</v>
      </c>
      <c r="I1489" s="15" t="s">
        <v>24</v>
      </c>
      <c r="J1489" s="15" t="s">
        <v>601</v>
      </c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</row>
    <row r="1490" spans="1:35" s="14" customFormat="1" x14ac:dyDescent="0.25">
      <c r="A1490" s="9">
        <v>1488</v>
      </c>
      <c r="B1490" s="14" t="s">
        <v>3455</v>
      </c>
      <c r="C1490" s="14" t="s">
        <v>3456</v>
      </c>
      <c r="D1490" s="13" t="s">
        <v>44</v>
      </c>
      <c r="E1490" s="15" t="str">
        <f>B1490</f>
        <v>Tamoxifen</v>
      </c>
      <c r="F1490" s="20">
        <f>DATE(2020,8,20)</f>
        <v>44063</v>
      </c>
      <c r="G1490" s="13">
        <v>1977</v>
      </c>
      <c r="H1490" s="13">
        <v>1</v>
      </c>
      <c r="I1490" s="15" t="s">
        <v>24</v>
      </c>
      <c r="J1490" s="15" t="s">
        <v>284</v>
      </c>
    </row>
    <row r="1491" spans="1:35" s="14" customFormat="1" x14ac:dyDescent="0.25">
      <c r="A1491" s="9">
        <v>1489</v>
      </c>
      <c r="B1491" s="14" t="s">
        <v>3457</v>
      </c>
      <c r="C1491" s="14" t="s">
        <v>3458</v>
      </c>
      <c r="D1491" s="13" t="s">
        <v>36</v>
      </c>
      <c r="E1491" s="15" t="str">
        <f>B1491</f>
        <v>Tamsulosin</v>
      </c>
      <c r="F1491" s="20">
        <f>DATE(2018,1,5)</f>
        <v>43105</v>
      </c>
      <c r="G1491" s="13">
        <v>2007</v>
      </c>
      <c r="H1491" s="13">
        <v>1</v>
      </c>
      <c r="I1491" s="15" t="s">
        <v>151</v>
      </c>
      <c r="J1491" s="15" t="s">
        <v>152</v>
      </c>
    </row>
    <row r="1492" spans="1:35" s="14" customFormat="1" x14ac:dyDescent="0.25">
      <c r="A1492" s="9">
        <v>1490</v>
      </c>
      <c r="B1492" s="14" t="s">
        <v>3459</v>
      </c>
      <c r="C1492" s="14" t="s">
        <v>3460</v>
      </c>
      <c r="D1492" s="13" t="s">
        <v>77</v>
      </c>
      <c r="E1492" s="15"/>
      <c r="F1492" s="20"/>
      <c r="G1492" s="13">
        <v>2008</v>
      </c>
      <c r="H1492" s="13">
        <v>0</v>
      </c>
      <c r="I1492" s="15" t="s">
        <v>54</v>
      </c>
      <c r="J1492" s="15" t="s">
        <v>148</v>
      </c>
    </row>
    <row r="1493" spans="1:35" s="14" customFormat="1" ht="12" x14ac:dyDescent="0.3">
      <c r="A1493" s="9">
        <v>1491</v>
      </c>
      <c r="B1493" s="15" t="s">
        <v>3461</v>
      </c>
      <c r="C1493" s="23" t="s">
        <v>3462</v>
      </c>
      <c r="D1493" s="13" t="s">
        <v>44</v>
      </c>
      <c r="E1493" s="15" t="s">
        <v>3463</v>
      </c>
      <c r="F1493" s="20">
        <f>DATE(2024,2,18)</f>
        <v>45340</v>
      </c>
      <c r="G1493" s="13" t="s">
        <v>174</v>
      </c>
      <c r="H1493" s="13">
        <v>1</v>
      </c>
      <c r="I1493" s="15" t="s">
        <v>190</v>
      </c>
      <c r="J1493" s="15" t="s">
        <v>3464</v>
      </c>
      <c r="K1493" s="13"/>
    </row>
    <row r="1494" spans="1:35" s="14" customFormat="1" x14ac:dyDescent="0.25">
      <c r="A1494" s="9">
        <v>1492</v>
      </c>
      <c r="B1494" s="14" t="s">
        <v>3465</v>
      </c>
      <c r="C1494" s="14" t="s">
        <v>3466</v>
      </c>
      <c r="D1494" s="13" t="s">
        <v>77</v>
      </c>
      <c r="E1494" s="14" t="s">
        <v>3465</v>
      </c>
      <c r="F1494" s="20"/>
      <c r="G1494" s="13">
        <v>2024</v>
      </c>
      <c r="H1494" s="13">
        <v>0</v>
      </c>
      <c r="I1494" s="14" t="s">
        <v>24</v>
      </c>
      <c r="J1494" s="14" t="s">
        <v>3467</v>
      </c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</row>
    <row r="1495" spans="1:35" s="14" customFormat="1" x14ac:dyDescent="0.25">
      <c r="A1495" s="9">
        <v>1493</v>
      </c>
      <c r="B1495" s="14" t="s">
        <v>3468</v>
      </c>
      <c r="C1495" s="14" t="s">
        <v>3469</v>
      </c>
      <c r="D1495" s="13" t="s">
        <v>31</v>
      </c>
      <c r="E1495" s="15" t="str">
        <f>B1495</f>
        <v>Tasimelteon</v>
      </c>
      <c r="F1495" s="20">
        <f>DATE(2020,9,2)</f>
        <v>44076</v>
      </c>
      <c r="G1495" s="13">
        <v>2014</v>
      </c>
      <c r="H1495" s="13">
        <v>1</v>
      </c>
      <c r="I1495" s="15" t="s">
        <v>100</v>
      </c>
      <c r="J1495" s="15" t="s">
        <v>2019</v>
      </c>
    </row>
    <row r="1496" spans="1:35" s="14" customFormat="1" x14ac:dyDescent="0.25">
      <c r="A1496" s="9">
        <v>1494</v>
      </c>
      <c r="B1496" s="14" t="s">
        <v>3470</v>
      </c>
      <c r="C1496" s="14" t="s">
        <v>3471</v>
      </c>
      <c r="D1496" s="13" t="s">
        <v>23</v>
      </c>
      <c r="E1496" s="15" t="s">
        <v>3470</v>
      </c>
      <c r="F1496" s="20">
        <f>DATE(2023,8,4)</f>
        <v>45142</v>
      </c>
      <c r="G1496" s="16">
        <v>2020</v>
      </c>
      <c r="H1496" s="13">
        <v>1</v>
      </c>
      <c r="I1496" s="15" t="s">
        <v>24</v>
      </c>
      <c r="J1496" s="15" t="s">
        <v>3472</v>
      </c>
    </row>
    <row r="1497" spans="1:35" s="13" customFormat="1" ht="12" customHeight="1" x14ac:dyDescent="0.25">
      <c r="A1497" s="9">
        <v>1495</v>
      </c>
      <c r="B1497" s="14" t="s">
        <v>3473</v>
      </c>
      <c r="C1497" s="14" t="s">
        <v>2914</v>
      </c>
      <c r="D1497" s="13" t="s">
        <v>31</v>
      </c>
      <c r="E1497" s="15" t="s">
        <v>3474</v>
      </c>
      <c r="F1497" s="20">
        <f>DATE(2020,10,20)</f>
        <v>44124</v>
      </c>
      <c r="G1497" s="13">
        <v>1993</v>
      </c>
      <c r="H1497" s="13">
        <v>1</v>
      </c>
      <c r="I1497" s="15" t="s">
        <v>15</v>
      </c>
      <c r="J1497" s="15" t="s">
        <v>225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</row>
    <row r="1498" spans="1:35" s="14" customFormat="1" x14ac:dyDescent="0.25">
      <c r="A1498" s="9">
        <v>1496</v>
      </c>
      <c r="B1498" s="14" t="s">
        <v>3475</v>
      </c>
      <c r="C1498" s="14" t="s">
        <v>3476</v>
      </c>
      <c r="D1498" s="13" t="s">
        <v>23</v>
      </c>
      <c r="E1498" s="14" t="s">
        <v>3475</v>
      </c>
      <c r="F1498" s="33">
        <f>DATE(2023,7,31)</f>
        <v>45138</v>
      </c>
      <c r="G1498" s="13">
        <v>2022</v>
      </c>
      <c r="H1498" s="13">
        <v>1</v>
      </c>
      <c r="I1498" s="15" t="s">
        <v>24</v>
      </c>
      <c r="J1498" s="15" t="s">
        <v>570</v>
      </c>
      <c r="K1498" s="13"/>
      <c r="L1498" s="13"/>
    </row>
    <row r="1499" spans="1:35" s="14" customFormat="1" x14ac:dyDescent="0.25">
      <c r="A1499" s="9">
        <v>1497</v>
      </c>
      <c r="B1499" s="14" t="s">
        <v>3477</v>
      </c>
      <c r="C1499" s="14" t="s">
        <v>3478</v>
      </c>
      <c r="D1499" s="13" t="s">
        <v>36</v>
      </c>
      <c r="E1499" s="15" t="s">
        <v>3477</v>
      </c>
      <c r="F1499" s="20">
        <f>DATE(2023,1,15)</f>
        <v>44941</v>
      </c>
      <c r="G1499" s="13">
        <v>2022</v>
      </c>
      <c r="H1499" s="13">
        <v>1</v>
      </c>
      <c r="I1499" s="15" t="s">
        <v>24</v>
      </c>
      <c r="J1499" s="15" t="s">
        <v>3479</v>
      </c>
    </row>
    <row r="1500" spans="1:35" s="14" customFormat="1" x14ac:dyDescent="0.25">
      <c r="A1500" s="9">
        <v>1498</v>
      </c>
      <c r="B1500" s="14" t="s">
        <v>3480</v>
      </c>
      <c r="C1500" s="14" t="s">
        <v>3481</v>
      </c>
      <c r="D1500" s="13" t="s">
        <v>31</v>
      </c>
      <c r="E1500" s="15" t="s">
        <v>3480</v>
      </c>
      <c r="F1500" s="20">
        <f>DATE(2022,10,18)</f>
        <v>44852</v>
      </c>
      <c r="G1500" s="13">
        <v>2018</v>
      </c>
      <c r="H1500" s="13">
        <v>1</v>
      </c>
      <c r="I1500" s="15" t="s">
        <v>15</v>
      </c>
      <c r="J1500" s="15" t="s">
        <v>627</v>
      </c>
    </row>
    <row r="1501" spans="1:35" s="14" customFormat="1" ht="11.5" customHeight="1" x14ac:dyDescent="0.25">
      <c r="A1501" s="9">
        <v>1499</v>
      </c>
      <c r="B1501" s="14" t="s">
        <v>3482</v>
      </c>
      <c r="C1501" s="14" t="s">
        <v>3483</v>
      </c>
      <c r="D1501" s="13" t="s">
        <v>23</v>
      </c>
      <c r="E1501" s="15" t="str">
        <f>B1501</f>
        <v>Tedizolid</v>
      </c>
      <c r="F1501" s="20">
        <f>DATE(2016,4,2)</f>
        <v>42462</v>
      </c>
      <c r="G1501" s="13">
        <v>2014</v>
      </c>
      <c r="H1501" s="13">
        <v>1</v>
      </c>
      <c r="I1501" s="15" t="s">
        <v>15</v>
      </c>
      <c r="J1501" s="15" t="s">
        <v>225</v>
      </c>
    </row>
    <row r="1502" spans="1:35" s="14" customFormat="1" ht="11.5" customHeight="1" x14ac:dyDescent="0.25">
      <c r="A1502" s="9">
        <v>1500</v>
      </c>
      <c r="B1502" s="14" t="s">
        <v>3484</v>
      </c>
      <c r="C1502" s="14" t="s">
        <v>3485</v>
      </c>
      <c r="D1502" s="9" t="s">
        <v>31</v>
      </c>
      <c r="E1502" s="15" t="s">
        <v>3486</v>
      </c>
      <c r="F1502" s="12">
        <f>DATE(2017,10,10)</f>
        <v>43018</v>
      </c>
      <c r="G1502" s="9">
        <v>2002</v>
      </c>
      <c r="H1502" s="9">
        <v>1</v>
      </c>
      <c r="I1502" s="15" t="s">
        <v>182</v>
      </c>
      <c r="J1502" s="15" t="s">
        <v>183</v>
      </c>
    </row>
    <row r="1503" spans="1:35" s="14" customFormat="1" ht="11.5" customHeight="1" x14ac:dyDescent="0.25">
      <c r="A1503" s="9">
        <v>1501</v>
      </c>
      <c r="B1503" s="14" t="s">
        <v>3487</v>
      </c>
      <c r="C1503" s="14" t="s">
        <v>3488</v>
      </c>
      <c r="D1503" s="9" t="s">
        <v>44</v>
      </c>
      <c r="E1503" s="15" t="str">
        <f>B1503</f>
        <v>Telaprevir</v>
      </c>
      <c r="F1503" s="12">
        <f>DATE(2022,1,26)</f>
        <v>44587</v>
      </c>
      <c r="G1503" s="9">
        <v>2011</v>
      </c>
      <c r="H1503" s="9">
        <v>1</v>
      </c>
      <c r="I1503" s="15" t="s">
        <v>15</v>
      </c>
      <c r="J1503" s="15" t="s">
        <v>366</v>
      </c>
    </row>
    <row r="1504" spans="1:35" s="14" customFormat="1" ht="11.5" customHeight="1" x14ac:dyDescent="0.25">
      <c r="A1504" s="9">
        <v>1502</v>
      </c>
      <c r="B1504" s="14" t="s">
        <v>3489</v>
      </c>
      <c r="C1504" s="14" t="s">
        <v>3490</v>
      </c>
      <c r="D1504" s="9" t="s">
        <v>31</v>
      </c>
      <c r="E1504" s="15" t="s">
        <v>1073</v>
      </c>
      <c r="F1504" s="12">
        <f>DATE(2016,3,1)</f>
        <v>42430</v>
      </c>
      <c r="G1504" s="9">
        <v>2009</v>
      </c>
      <c r="H1504" s="9">
        <v>1</v>
      </c>
      <c r="I1504" s="15" t="s">
        <v>15</v>
      </c>
      <c r="J1504" s="15" t="s">
        <v>225</v>
      </c>
    </row>
    <row r="1505" spans="1:35" s="14" customFormat="1" ht="11.5" customHeight="1" x14ac:dyDescent="0.25">
      <c r="A1505" s="9">
        <v>1503</v>
      </c>
      <c r="B1505" s="14" t="s">
        <v>3491</v>
      </c>
      <c r="C1505" s="14" t="s">
        <v>3492</v>
      </c>
      <c r="D1505" s="9" t="s">
        <v>31</v>
      </c>
      <c r="E1505" s="15" t="str">
        <f>B1505</f>
        <v>Telbivudine</v>
      </c>
      <c r="F1505" s="12">
        <f>DATE(2020,10,20)</f>
        <v>44124</v>
      </c>
      <c r="G1505" s="9">
        <v>2008</v>
      </c>
      <c r="H1505" s="9">
        <v>1</v>
      </c>
      <c r="I1505" s="15" t="s">
        <v>15</v>
      </c>
      <c r="J1505" s="15" t="s">
        <v>97</v>
      </c>
    </row>
    <row r="1506" spans="1:35" s="14" customFormat="1" ht="11.5" customHeight="1" x14ac:dyDescent="0.3">
      <c r="A1506" s="9">
        <v>1504</v>
      </c>
      <c r="B1506" s="14" t="s">
        <v>3493</v>
      </c>
      <c r="C1506" s="14" t="s">
        <v>3494</v>
      </c>
      <c r="D1506" s="9" t="s">
        <v>77</v>
      </c>
      <c r="E1506" s="14" t="s">
        <v>3493</v>
      </c>
      <c r="F1506" s="9"/>
      <c r="G1506" s="9">
        <v>2025</v>
      </c>
      <c r="H1506" s="27">
        <v>0</v>
      </c>
      <c r="I1506" s="14" t="s">
        <v>24</v>
      </c>
      <c r="J1506" s="14" t="s">
        <v>3495</v>
      </c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</row>
    <row r="1507" spans="1:35" s="14" customFormat="1" ht="11.5" customHeight="1" x14ac:dyDescent="0.25">
      <c r="A1507" s="9">
        <v>1505</v>
      </c>
      <c r="B1507" s="14" t="s">
        <v>3496</v>
      </c>
      <c r="C1507" s="14" t="s">
        <v>3497</v>
      </c>
      <c r="D1507" s="9" t="s">
        <v>166</v>
      </c>
      <c r="E1507" s="15" t="str">
        <f t="shared" ref="E1507:E1512" si="36">B1507</f>
        <v>Telithromycin</v>
      </c>
      <c r="F1507" s="12">
        <f>DATE(2017,8,10)</f>
        <v>42957</v>
      </c>
      <c r="G1507" s="9">
        <v>2004</v>
      </c>
      <c r="H1507" s="9">
        <v>1</v>
      </c>
      <c r="I1507" s="15" t="s">
        <v>15</v>
      </c>
      <c r="J1507" s="15" t="s">
        <v>225</v>
      </c>
    </row>
    <row r="1508" spans="1:35" s="14" customFormat="1" ht="11.5" customHeight="1" x14ac:dyDescent="0.25">
      <c r="A1508" s="9">
        <v>1506</v>
      </c>
      <c r="B1508" s="14" t="s">
        <v>3498</v>
      </c>
      <c r="C1508" s="14" t="s">
        <v>3499</v>
      </c>
      <c r="D1508" s="9" t="s">
        <v>23</v>
      </c>
      <c r="E1508" s="15" t="str">
        <f t="shared" si="36"/>
        <v>Telmisartan</v>
      </c>
      <c r="F1508" s="12">
        <f>DATE(2017,1,13)</f>
        <v>42748</v>
      </c>
      <c r="G1508" s="9">
        <v>1998</v>
      </c>
      <c r="H1508" s="9">
        <v>1</v>
      </c>
      <c r="I1508" s="15" t="s">
        <v>49</v>
      </c>
      <c r="J1508" s="15" t="s">
        <v>50</v>
      </c>
    </row>
    <row r="1509" spans="1:35" s="14" customFormat="1" ht="11.5" customHeight="1" x14ac:dyDescent="0.25">
      <c r="A1509" s="9">
        <v>1507</v>
      </c>
      <c r="B1509" s="14" t="s">
        <v>3500</v>
      </c>
      <c r="C1509" s="14" t="s">
        <v>3501</v>
      </c>
      <c r="D1509" s="9" t="s">
        <v>31</v>
      </c>
      <c r="E1509" s="15" t="str">
        <f t="shared" si="36"/>
        <v>Telotristat</v>
      </c>
      <c r="F1509" s="12">
        <f>DATE(2019,4,15)</f>
        <v>43570</v>
      </c>
      <c r="G1509" s="9">
        <v>2017</v>
      </c>
      <c r="H1509" s="9">
        <v>1</v>
      </c>
      <c r="I1509" s="15" t="s">
        <v>182</v>
      </c>
      <c r="J1509" s="15" t="s">
        <v>3502</v>
      </c>
    </row>
    <row r="1510" spans="1:35" s="14" customFormat="1" ht="11.5" customHeight="1" x14ac:dyDescent="0.25">
      <c r="A1510" s="9">
        <v>1508</v>
      </c>
      <c r="B1510" s="14" t="s">
        <v>3503</v>
      </c>
      <c r="C1510" s="14" t="s">
        <v>3504</v>
      </c>
      <c r="D1510" s="9" t="s">
        <v>31</v>
      </c>
      <c r="E1510" s="15" t="str">
        <f t="shared" si="36"/>
        <v>Temazepam</v>
      </c>
      <c r="F1510" s="12">
        <f>DATE(2023,6,22)</f>
        <v>45099</v>
      </c>
      <c r="G1510" s="9">
        <v>1981</v>
      </c>
      <c r="H1510" s="9">
        <v>1</v>
      </c>
      <c r="I1510" s="15" t="s">
        <v>100</v>
      </c>
      <c r="J1510" s="15" t="s">
        <v>204</v>
      </c>
    </row>
    <row r="1511" spans="1:35" s="14" customFormat="1" ht="11.5" customHeight="1" x14ac:dyDescent="0.25">
      <c r="A1511" s="9">
        <v>1509</v>
      </c>
      <c r="B1511" s="14" t="s">
        <v>3505</v>
      </c>
      <c r="C1511" s="14" t="s">
        <v>3506</v>
      </c>
      <c r="D1511" s="9" t="s">
        <v>44</v>
      </c>
      <c r="E1511" s="15" t="str">
        <f t="shared" si="36"/>
        <v>Temozolomide</v>
      </c>
      <c r="F1511" s="12">
        <f>DATE(2020,9,2)</f>
        <v>44076</v>
      </c>
      <c r="G1511" s="9">
        <v>1999</v>
      </c>
      <c r="H1511" s="9">
        <v>1</v>
      </c>
      <c r="I1511" s="15" t="s">
        <v>24</v>
      </c>
      <c r="J1511" s="15" t="s">
        <v>3507</v>
      </c>
    </row>
    <row r="1512" spans="1:35" s="14" customFormat="1" ht="11.5" customHeight="1" x14ac:dyDescent="0.25">
      <c r="A1512" s="9">
        <v>1510</v>
      </c>
      <c r="B1512" s="14" t="s">
        <v>3508</v>
      </c>
      <c r="C1512" s="14" t="s">
        <v>3509</v>
      </c>
      <c r="D1512" s="9" t="s">
        <v>23</v>
      </c>
      <c r="E1512" s="15" t="str">
        <f t="shared" si="36"/>
        <v>Temsirolimus</v>
      </c>
      <c r="F1512" s="12">
        <f>DATE(2020,11,4)</f>
        <v>44139</v>
      </c>
      <c r="G1512" s="9">
        <v>2007</v>
      </c>
      <c r="H1512" s="9">
        <v>1</v>
      </c>
      <c r="I1512" s="15" t="s">
        <v>24</v>
      </c>
      <c r="J1512" s="15" t="s">
        <v>207</v>
      </c>
    </row>
    <row r="1513" spans="1:35" s="14" customFormat="1" ht="11.5" customHeight="1" x14ac:dyDescent="0.25">
      <c r="A1513" s="9">
        <v>1511</v>
      </c>
      <c r="B1513" s="14" t="s">
        <v>3510</v>
      </c>
      <c r="C1513" s="14" t="s">
        <v>3511</v>
      </c>
      <c r="D1513" s="9" t="s">
        <v>31</v>
      </c>
      <c r="E1513" s="15" t="s">
        <v>3510</v>
      </c>
      <c r="F1513" s="12">
        <f>DATE(2023,4,29)</f>
        <v>45045</v>
      </c>
      <c r="G1513" s="9">
        <v>2019</v>
      </c>
      <c r="H1513" s="9">
        <v>1</v>
      </c>
      <c r="I1513" s="15" t="s">
        <v>182</v>
      </c>
      <c r="J1513" s="15" t="s">
        <v>3512</v>
      </c>
    </row>
    <row r="1514" spans="1:35" s="14" customFormat="1" ht="11.5" customHeight="1" x14ac:dyDescent="0.25">
      <c r="A1514" s="9">
        <v>1512</v>
      </c>
      <c r="B1514" s="14" t="s">
        <v>3513</v>
      </c>
      <c r="C1514" s="14" t="s">
        <v>3514</v>
      </c>
      <c r="D1514" s="9" t="s">
        <v>23</v>
      </c>
      <c r="E1514" s="15" t="s">
        <v>1558</v>
      </c>
      <c r="F1514" s="12">
        <f>DATE(2018,2,25)</f>
        <v>43156</v>
      </c>
      <c r="G1514" s="9">
        <v>1992</v>
      </c>
      <c r="H1514" s="9">
        <v>1</v>
      </c>
      <c r="I1514" s="15" t="s">
        <v>24</v>
      </c>
      <c r="J1514" s="15" t="s">
        <v>596</v>
      </c>
    </row>
    <row r="1515" spans="1:35" s="14" customFormat="1" ht="11.5" customHeight="1" x14ac:dyDescent="0.25">
      <c r="A1515" s="9">
        <v>1513</v>
      </c>
      <c r="B1515" s="14" t="s">
        <v>3515</v>
      </c>
      <c r="C1515" s="14" t="s">
        <v>3516</v>
      </c>
      <c r="D1515" s="9" t="s">
        <v>14</v>
      </c>
      <c r="E1515" s="15" t="str">
        <f>B1515</f>
        <v xml:space="preserve">Tenofovir </v>
      </c>
      <c r="F1515" s="12">
        <f>DATE(2020,10,20)</f>
        <v>44124</v>
      </c>
      <c r="G1515" s="9">
        <v>2001</v>
      </c>
      <c r="H1515" s="9">
        <v>1</v>
      </c>
      <c r="I1515" s="15" t="s">
        <v>15</v>
      </c>
      <c r="J1515" s="15" t="s">
        <v>1422</v>
      </c>
    </row>
    <row r="1516" spans="1:35" s="14" customFormat="1" ht="11.5" customHeight="1" x14ac:dyDescent="0.25">
      <c r="A1516" s="9">
        <v>1514</v>
      </c>
      <c r="B1516" s="14" t="s">
        <v>3517</v>
      </c>
      <c r="C1516" s="14" t="s">
        <v>3518</v>
      </c>
      <c r="D1516" s="9" t="s">
        <v>31</v>
      </c>
      <c r="E1516" s="15" t="s">
        <v>3517</v>
      </c>
      <c r="F1516" s="12">
        <f>DATE(2023,1,15)</f>
        <v>44941</v>
      </c>
      <c r="G1516" s="9">
        <v>2022</v>
      </c>
      <c r="H1516" s="9">
        <v>1</v>
      </c>
      <c r="I1516" s="15" t="s">
        <v>45</v>
      </c>
      <c r="J1516" s="15" t="s">
        <v>3519</v>
      </c>
    </row>
    <row r="1517" spans="1:35" s="14" customFormat="1" ht="11.5" customHeight="1" x14ac:dyDescent="0.25">
      <c r="A1517" s="9">
        <v>1515</v>
      </c>
      <c r="B1517" s="14" t="s">
        <v>3520</v>
      </c>
      <c r="C1517" s="14" t="s">
        <v>3521</v>
      </c>
      <c r="D1517" s="9" t="s">
        <v>23</v>
      </c>
      <c r="E1517" s="15" t="s">
        <v>3520</v>
      </c>
      <c r="F1517" s="12">
        <f>DATE(2023,9,8)</f>
        <v>45177</v>
      </c>
      <c r="G1517" s="27">
        <v>2021</v>
      </c>
      <c r="H1517" s="9">
        <v>1</v>
      </c>
      <c r="I1517" s="15" t="s">
        <v>24</v>
      </c>
      <c r="J1517" s="15" t="s">
        <v>624</v>
      </c>
    </row>
    <row r="1518" spans="1:35" s="14" customFormat="1" ht="11.5" customHeight="1" x14ac:dyDescent="0.25">
      <c r="A1518" s="9">
        <v>1516</v>
      </c>
      <c r="B1518" s="14" t="s">
        <v>3522</v>
      </c>
      <c r="C1518" s="14" t="s">
        <v>3523</v>
      </c>
      <c r="D1518" s="9" t="s">
        <v>77</v>
      </c>
      <c r="E1518" s="15" t="str">
        <f>B1518</f>
        <v>Teprotumumab</v>
      </c>
      <c r="F1518" s="12"/>
      <c r="G1518" s="9">
        <v>2020</v>
      </c>
      <c r="H1518" s="9">
        <v>0</v>
      </c>
      <c r="I1518" s="15" t="s">
        <v>78</v>
      </c>
      <c r="J1518" s="15" t="s">
        <v>3524</v>
      </c>
    </row>
    <row r="1519" spans="1:35" s="14" customFormat="1" ht="11.5" customHeight="1" x14ac:dyDescent="0.25">
      <c r="A1519" s="9">
        <v>1517</v>
      </c>
      <c r="B1519" s="14" t="s">
        <v>3525</v>
      </c>
      <c r="C1519" s="14" t="s">
        <v>3526</v>
      </c>
      <c r="D1519" s="9" t="s">
        <v>31</v>
      </c>
      <c r="E1519" s="15" t="str">
        <f>B1519</f>
        <v>Terazosin</v>
      </c>
      <c r="F1519" s="12">
        <f>DATE(2018,1,5)</f>
        <v>43105</v>
      </c>
      <c r="G1519" s="9">
        <v>1987</v>
      </c>
      <c r="H1519" s="9">
        <v>1</v>
      </c>
      <c r="I1519" s="15" t="s">
        <v>151</v>
      </c>
      <c r="J1519" s="15" t="s">
        <v>152</v>
      </c>
    </row>
    <row r="1520" spans="1:35" s="14" customFormat="1" ht="11.5" customHeight="1" x14ac:dyDescent="0.25">
      <c r="A1520" s="9">
        <v>1518</v>
      </c>
      <c r="B1520" s="14" t="s">
        <v>3527</v>
      </c>
      <c r="C1520" s="14" t="s">
        <v>3528</v>
      </c>
      <c r="D1520" s="9" t="s">
        <v>44</v>
      </c>
      <c r="E1520" s="15" t="str">
        <f>B1520</f>
        <v>Terbinafine</v>
      </c>
      <c r="F1520" s="12">
        <f>DATE(2018,1,1)</f>
        <v>43101</v>
      </c>
      <c r="G1520" s="9">
        <v>1998</v>
      </c>
      <c r="H1520" s="9">
        <v>1</v>
      </c>
      <c r="I1520" s="15" t="s">
        <v>15</v>
      </c>
      <c r="J1520" s="15" t="s">
        <v>271</v>
      </c>
    </row>
    <row r="1521" spans="1:35" s="14" customFormat="1" ht="11.5" customHeight="1" x14ac:dyDescent="0.25">
      <c r="A1521" s="9">
        <v>1519</v>
      </c>
      <c r="B1521" s="14" t="s">
        <v>3529</v>
      </c>
      <c r="C1521" s="14" t="s">
        <v>3530</v>
      </c>
      <c r="D1521" s="9" t="s">
        <v>131</v>
      </c>
      <c r="E1521" s="15" t="s">
        <v>127</v>
      </c>
      <c r="F1521" s="12">
        <f>DATE(2017,9,10)</f>
        <v>42988</v>
      </c>
      <c r="G1521" s="9">
        <v>1974</v>
      </c>
      <c r="H1521" s="9">
        <v>1</v>
      </c>
      <c r="I1521" s="15" t="s">
        <v>73</v>
      </c>
      <c r="J1521" s="15" t="s">
        <v>74</v>
      </c>
    </row>
    <row r="1522" spans="1:35" s="14" customFormat="1" ht="11.5" customHeight="1" x14ac:dyDescent="0.25">
      <c r="A1522" s="9">
        <v>1520</v>
      </c>
      <c r="B1522" s="14" t="s">
        <v>3531</v>
      </c>
      <c r="C1522" s="14" t="s">
        <v>3532</v>
      </c>
      <c r="D1522" s="9" t="s">
        <v>14</v>
      </c>
      <c r="E1522" s="15" t="str">
        <f>B1522</f>
        <v>Teriflunomide</v>
      </c>
      <c r="F1522" s="12">
        <f>DATE(2025,9,20)</f>
        <v>45920</v>
      </c>
      <c r="G1522" s="9">
        <v>2012</v>
      </c>
      <c r="H1522" s="9">
        <v>1</v>
      </c>
      <c r="I1522" s="15" t="s">
        <v>100</v>
      </c>
      <c r="J1522" s="15" t="s">
        <v>1076</v>
      </c>
    </row>
    <row r="1523" spans="1:35" s="14" customFormat="1" ht="11.5" customHeight="1" x14ac:dyDescent="0.25">
      <c r="A1523" s="9">
        <v>1521</v>
      </c>
      <c r="B1523" s="14" t="s">
        <v>3533</v>
      </c>
      <c r="C1523" s="14" t="s">
        <v>3534</v>
      </c>
      <c r="D1523" s="9" t="s">
        <v>31</v>
      </c>
      <c r="E1523" s="15" t="str">
        <f>B1523</f>
        <v>Teriparatide</v>
      </c>
      <c r="F1523" s="12">
        <f>DATE(2016,3,16)</f>
        <v>42445</v>
      </c>
      <c r="G1523" s="9">
        <v>2002</v>
      </c>
      <c r="H1523" s="9">
        <v>1</v>
      </c>
      <c r="I1523" s="15" t="s">
        <v>45</v>
      </c>
      <c r="J1523" s="15" t="s">
        <v>144</v>
      </c>
    </row>
    <row r="1524" spans="1:35" s="14" customFormat="1" ht="11.5" customHeight="1" x14ac:dyDescent="0.25">
      <c r="A1524" s="9">
        <v>1522</v>
      </c>
      <c r="B1524" s="14" t="s">
        <v>3535</v>
      </c>
      <c r="C1524" s="14" t="s">
        <v>3536</v>
      </c>
      <c r="D1524" s="9" t="s">
        <v>77</v>
      </c>
      <c r="E1524" s="14" t="s">
        <v>3535</v>
      </c>
      <c r="F1524" s="9"/>
      <c r="G1524" s="9">
        <v>2022</v>
      </c>
      <c r="H1524" s="9">
        <v>0</v>
      </c>
      <c r="I1524" s="15" t="s">
        <v>182</v>
      </c>
      <c r="J1524" s="15" t="s">
        <v>3537</v>
      </c>
      <c r="K1524" s="13"/>
      <c r="L1524" s="13"/>
    </row>
    <row r="1525" spans="1:35" s="13" customFormat="1" ht="12" customHeight="1" x14ac:dyDescent="0.25">
      <c r="A1525" s="9">
        <v>1523</v>
      </c>
      <c r="B1525" s="14" t="s">
        <v>3538</v>
      </c>
      <c r="C1525" s="14" t="s">
        <v>3539</v>
      </c>
      <c r="D1525" s="13" t="s">
        <v>31</v>
      </c>
      <c r="E1525" s="15" t="s">
        <v>3540</v>
      </c>
      <c r="F1525" s="20"/>
      <c r="G1525" s="13" t="s">
        <v>174</v>
      </c>
      <c r="H1525" s="13">
        <v>0</v>
      </c>
      <c r="I1525" s="15" t="s">
        <v>151</v>
      </c>
      <c r="J1525" s="15" t="s">
        <v>1108</v>
      </c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</row>
    <row r="1526" spans="1:35" s="13" customFormat="1" ht="12" customHeight="1" x14ac:dyDescent="0.25">
      <c r="A1526" s="9">
        <v>1524</v>
      </c>
      <c r="B1526" s="14" t="s">
        <v>3541</v>
      </c>
      <c r="C1526" s="14" t="s">
        <v>3542</v>
      </c>
      <c r="D1526" s="13" t="s">
        <v>31</v>
      </c>
      <c r="E1526" s="15" t="str">
        <f>B1526</f>
        <v>Tesamorelin</v>
      </c>
      <c r="F1526" s="20">
        <f>DATE(2018,10,20)</f>
        <v>43393</v>
      </c>
      <c r="G1526" s="13">
        <v>2011</v>
      </c>
      <c r="H1526" s="13">
        <v>1</v>
      </c>
      <c r="I1526" s="15" t="s">
        <v>45</v>
      </c>
      <c r="J1526" s="15" t="s">
        <v>3543</v>
      </c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</row>
    <row r="1527" spans="1:35" s="13" customFormat="1" ht="12" customHeight="1" x14ac:dyDescent="0.25">
      <c r="A1527" s="9">
        <v>1525</v>
      </c>
      <c r="B1527" s="14" t="s">
        <v>3544</v>
      </c>
      <c r="C1527" s="14" t="s">
        <v>3545</v>
      </c>
      <c r="D1527" s="13" t="s">
        <v>77</v>
      </c>
      <c r="E1527" s="15"/>
      <c r="F1527" s="20"/>
      <c r="G1527" s="13">
        <v>1970</v>
      </c>
      <c r="H1527" s="13">
        <v>0</v>
      </c>
      <c r="I1527" s="15" t="s">
        <v>24</v>
      </c>
      <c r="J1527" s="15" t="s">
        <v>284</v>
      </c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</row>
    <row r="1528" spans="1:35" s="13" customFormat="1" ht="12" customHeight="1" x14ac:dyDescent="0.25">
      <c r="A1528" s="9">
        <v>1526</v>
      </c>
      <c r="B1528" s="14" t="s">
        <v>3546</v>
      </c>
      <c r="C1528" s="14" t="s">
        <v>3547</v>
      </c>
      <c r="D1528" s="13" t="s">
        <v>31</v>
      </c>
      <c r="E1528" s="15" t="s">
        <v>1085</v>
      </c>
      <c r="F1528" s="20">
        <f>DATE(2020,5,24)</f>
        <v>43975</v>
      </c>
      <c r="G1528" s="13" t="s">
        <v>63</v>
      </c>
      <c r="H1528" s="13">
        <v>1</v>
      </c>
      <c r="I1528" s="15" t="s">
        <v>45</v>
      </c>
      <c r="J1528" s="15" t="s">
        <v>291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</row>
    <row r="1529" spans="1:35" s="13" customFormat="1" ht="12" customHeight="1" x14ac:dyDescent="0.25">
      <c r="A1529" s="9">
        <v>1527</v>
      </c>
      <c r="B1529" s="14" t="s">
        <v>3548</v>
      </c>
      <c r="C1529" s="14" t="s">
        <v>3549</v>
      </c>
      <c r="D1529" s="13" t="s">
        <v>31</v>
      </c>
      <c r="E1529" s="15" t="s">
        <v>1185</v>
      </c>
      <c r="F1529" s="20">
        <f>DATE(2019,3,12)</f>
        <v>43536</v>
      </c>
      <c r="G1529" s="13">
        <v>2008</v>
      </c>
      <c r="H1529" s="13">
        <v>1</v>
      </c>
      <c r="I1529" s="15" t="s">
        <v>100</v>
      </c>
      <c r="J1529" s="15" t="s">
        <v>3550</v>
      </c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</row>
    <row r="1530" spans="1:35" s="13" customFormat="1" ht="12" customHeight="1" x14ac:dyDescent="0.25">
      <c r="A1530" s="9">
        <v>1528</v>
      </c>
      <c r="B1530" s="14" t="s">
        <v>2748</v>
      </c>
      <c r="C1530" s="14" t="s">
        <v>3551</v>
      </c>
      <c r="D1530" s="13" t="s">
        <v>53</v>
      </c>
      <c r="E1530" s="15" t="str">
        <f>B1530</f>
        <v>Tetracycline</v>
      </c>
      <c r="F1530" s="20">
        <f>DATE(2019,1,20)</f>
        <v>43485</v>
      </c>
      <c r="G1530" s="13">
        <v>1957</v>
      </c>
      <c r="H1530" s="13">
        <v>1</v>
      </c>
      <c r="I1530" s="15" t="s">
        <v>15</v>
      </c>
      <c r="J1530" s="15" t="s">
        <v>225</v>
      </c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</row>
    <row r="1531" spans="1:35" s="13" customFormat="1" ht="12" customHeight="1" x14ac:dyDescent="0.25">
      <c r="A1531" s="9">
        <v>1529</v>
      </c>
      <c r="B1531" s="14" t="s">
        <v>3552</v>
      </c>
      <c r="C1531" s="14" t="s">
        <v>3553</v>
      </c>
      <c r="D1531" s="13" t="s">
        <v>44</v>
      </c>
      <c r="E1531" s="15" t="s">
        <v>1189</v>
      </c>
      <c r="F1531" s="20">
        <f>DATE(2025,8,28)</f>
        <v>45897</v>
      </c>
      <c r="G1531" s="13">
        <v>2018</v>
      </c>
      <c r="H1531" s="13">
        <v>1</v>
      </c>
      <c r="I1531" s="15" t="s">
        <v>104</v>
      </c>
      <c r="J1531" s="15" t="s">
        <v>1190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</row>
    <row r="1532" spans="1:35" s="13" customFormat="1" ht="12" customHeight="1" x14ac:dyDescent="0.25">
      <c r="A1532" s="9">
        <v>1530</v>
      </c>
      <c r="B1532" s="14" t="s">
        <v>3554</v>
      </c>
      <c r="C1532" s="14" t="s">
        <v>3555</v>
      </c>
      <c r="D1532" s="13" t="s">
        <v>31</v>
      </c>
      <c r="E1532" s="15" t="s">
        <v>3554</v>
      </c>
      <c r="F1532" s="20">
        <f>DATE(2023,2,16)</f>
        <v>44973</v>
      </c>
      <c r="G1532" s="16">
        <v>2021</v>
      </c>
      <c r="H1532" s="13">
        <v>1</v>
      </c>
      <c r="I1532" s="15" t="s">
        <v>73</v>
      </c>
      <c r="J1532" s="15" t="s">
        <v>128</v>
      </c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</row>
    <row r="1533" spans="1:35" s="13" customFormat="1" ht="12" customHeight="1" x14ac:dyDescent="0.25">
      <c r="A1533" s="9">
        <v>1531</v>
      </c>
      <c r="B1533" s="14" t="s">
        <v>3556</v>
      </c>
      <c r="C1533" s="14" t="s">
        <v>3557</v>
      </c>
      <c r="D1533" s="13" t="s">
        <v>44</v>
      </c>
      <c r="E1533" s="15" t="str">
        <f>B1533</f>
        <v>Thalidomide</v>
      </c>
      <c r="F1533" s="20">
        <f>DATE(2022,8,20)</f>
        <v>44793</v>
      </c>
      <c r="G1533" s="13">
        <v>1998</v>
      </c>
      <c r="H1533" s="13">
        <v>1</v>
      </c>
      <c r="I1533" s="15" t="s">
        <v>24</v>
      </c>
      <c r="J1533" s="15" t="s">
        <v>207</v>
      </c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</row>
    <row r="1534" spans="1:35" s="13" customFormat="1" ht="12" customHeight="1" x14ac:dyDescent="0.25">
      <c r="A1534" s="9">
        <v>1532</v>
      </c>
      <c r="B1534" s="14" t="s">
        <v>3558</v>
      </c>
      <c r="C1534" s="14" t="s">
        <v>3559</v>
      </c>
      <c r="D1534" s="13" t="s">
        <v>31</v>
      </c>
      <c r="E1534" s="15" t="str">
        <f>B1534</f>
        <v>Theophylline</v>
      </c>
      <c r="F1534" s="20">
        <f>DATE(2020,7,15)</f>
        <v>44027</v>
      </c>
      <c r="G1534" s="13">
        <v>1982</v>
      </c>
      <c r="H1534" s="13">
        <v>1</v>
      </c>
      <c r="I1534" s="15" t="s">
        <v>73</v>
      </c>
      <c r="J1534" s="15" t="s">
        <v>74</v>
      </c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</row>
    <row r="1535" spans="1:35" s="13" customFormat="1" ht="12" customHeight="1" x14ac:dyDescent="0.25">
      <c r="A1535" s="9">
        <v>1533</v>
      </c>
      <c r="B1535" s="14" t="s">
        <v>3560</v>
      </c>
      <c r="C1535" s="14" t="s">
        <v>3561</v>
      </c>
      <c r="D1535" s="13" t="s">
        <v>44</v>
      </c>
      <c r="E1535" s="15" t="str">
        <f>B1535</f>
        <v>Thiabendazole</v>
      </c>
      <c r="F1535" s="20">
        <f>DATE(2020,7,20)</f>
        <v>44032</v>
      </c>
      <c r="G1535" s="13">
        <v>1967</v>
      </c>
      <c r="H1535" s="13">
        <v>1</v>
      </c>
      <c r="I1535" s="15" t="s">
        <v>15</v>
      </c>
      <c r="J1535" s="15" t="s">
        <v>122</v>
      </c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</row>
    <row r="1536" spans="1:35" s="13" customFormat="1" ht="12" customHeight="1" x14ac:dyDescent="0.25">
      <c r="A1536" s="9">
        <v>1534</v>
      </c>
      <c r="B1536" s="14" t="s">
        <v>3562</v>
      </c>
      <c r="C1536" s="14" t="s">
        <v>3563</v>
      </c>
      <c r="D1536" s="13" t="s">
        <v>31</v>
      </c>
      <c r="E1536" s="15" t="s">
        <v>573</v>
      </c>
      <c r="F1536" s="20">
        <f>DATE(2021,5,23)</f>
        <v>44339</v>
      </c>
      <c r="G1536" s="13">
        <v>1996</v>
      </c>
      <c r="H1536" s="13">
        <v>1</v>
      </c>
      <c r="I1536" s="15" t="s">
        <v>190</v>
      </c>
      <c r="J1536" s="15" t="s">
        <v>198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</row>
    <row r="1537" spans="1:35" s="13" customFormat="1" ht="12" customHeight="1" x14ac:dyDescent="0.25">
      <c r="A1537" s="9">
        <v>1535</v>
      </c>
      <c r="B1537" s="14" t="s">
        <v>3564</v>
      </c>
      <c r="C1537" s="14" t="s">
        <v>3565</v>
      </c>
      <c r="D1537" s="13" t="s">
        <v>166</v>
      </c>
      <c r="E1537" s="15" t="str">
        <f>B1537</f>
        <v>Thioguanine</v>
      </c>
      <c r="F1537" s="20">
        <f>DATE(2017,8,22)</f>
        <v>42969</v>
      </c>
      <c r="G1537" s="13">
        <v>1966</v>
      </c>
      <c r="H1537" s="13">
        <v>1</v>
      </c>
      <c r="I1537" s="15" t="s">
        <v>24</v>
      </c>
      <c r="J1537" s="15" t="s">
        <v>596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</row>
    <row r="1538" spans="1:35" s="13" customFormat="1" ht="12" customHeight="1" x14ac:dyDescent="0.25">
      <c r="A1538" s="9">
        <v>1536</v>
      </c>
      <c r="B1538" s="14" t="s">
        <v>3566</v>
      </c>
      <c r="C1538" s="14" t="s">
        <v>3567</v>
      </c>
      <c r="D1538" s="13" t="s">
        <v>31</v>
      </c>
      <c r="E1538" s="15" t="s">
        <v>3568</v>
      </c>
      <c r="F1538" s="20">
        <f>DATE(2021,10,5)</f>
        <v>44474</v>
      </c>
      <c r="G1538" s="13" t="s">
        <v>63</v>
      </c>
      <c r="H1538" s="13">
        <v>1</v>
      </c>
      <c r="I1538" s="15" t="s">
        <v>100</v>
      </c>
      <c r="J1538" s="15" t="s">
        <v>204</v>
      </c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</row>
    <row r="1539" spans="1:35" s="13" customFormat="1" ht="12" customHeight="1" x14ac:dyDescent="0.25">
      <c r="A1539" s="9">
        <v>1537</v>
      </c>
      <c r="B1539" s="14" t="s">
        <v>3569</v>
      </c>
      <c r="C1539" s="14" t="s">
        <v>3570</v>
      </c>
      <c r="D1539" s="13" t="s">
        <v>44</v>
      </c>
      <c r="E1539" s="15" t="str">
        <f>B1539</f>
        <v>Thioridazine</v>
      </c>
      <c r="F1539" s="20">
        <f>DATE(2020,7,1)</f>
        <v>44013</v>
      </c>
      <c r="G1539" s="13">
        <v>1978</v>
      </c>
      <c r="H1539" s="13">
        <v>1</v>
      </c>
      <c r="I1539" s="15" t="s">
        <v>100</v>
      </c>
      <c r="J1539" s="15" t="s">
        <v>328</v>
      </c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</row>
    <row r="1540" spans="1:35" s="13" customFormat="1" ht="12" customHeight="1" x14ac:dyDescent="0.25">
      <c r="A1540" s="9">
        <v>1538</v>
      </c>
      <c r="B1540" s="14" t="s">
        <v>3571</v>
      </c>
      <c r="C1540" s="14" t="s">
        <v>3572</v>
      </c>
      <c r="D1540" s="13" t="s">
        <v>36</v>
      </c>
      <c r="E1540" s="15" t="str">
        <f>B1540</f>
        <v>Thiotepa</v>
      </c>
      <c r="F1540" s="20">
        <f>DATE(2020,9,12)</f>
        <v>44086</v>
      </c>
      <c r="G1540" s="13">
        <v>1959</v>
      </c>
      <c r="H1540" s="13">
        <v>1</v>
      </c>
      <c r="I1540" s="15" t="s">
        <v>24</v>
      </c>
      <c r="J1540" s="15" t="s">
        <v>207</v>
      </c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</row>
    <row r="1541" spans="1:35" s="13" customFormat="1" ht="12" customHeight="1" x14ac:dyDescent="0.25">
      <c r="A1541" s="9">
        <v>1539</v>
      </c>
      <c r="B1541" s="14" t="s">
        <v>3573</v>
      </c>
      <c r="C1541" s="14" t="s">
        <v>3574</v>
      </c>
      <c r="D1541" s="13" t="s">
        <v>77</v>
      </c>
      <c r="E1541" s="15"/>
      <c r="F1541" s="20"/>
      <c r="G1541" s="13">
        <v>1967</v>
      </c>
      <c r="H1541" s="13">
        <v>0</v>
      </c>
      <c r="I1541" s="15" t="s">
        <v>100</v>
      </c>
      <c r="J1541" s="15" t="s">
        <v>328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</row>
    <row r="1542" spans="1:35" s="13" customFormat="1" ht="12" customHeight="1" x14ac:dyDescent="0.25">
      <c r="A1542" s="9">
        <v>1540</v>
      </c>
      <c r="B1542" s="14" t="s">
        <v>1208</v>
      </c>
      <c r="C1542" s="14" t="s">
        <v>3575</v>
      </c>
      <c r="D1542" s="13" t="s">
        <v>14</v>
      </c>
      <c r="E1542" s="15" t="str">
        <f>$E$1453</f>
        <v>Select Androgen Rpt Mod</v>
      </c>
      <c r="F1542" s="20">
        <f>DATE(2019,5,20)</f>
        <v>43605</v>
      </c>
      <c r="G1542" s="13" t="s">
        <v>63</v>
      </c>
      <c r="H1542" s="13">
        <v>1</v>
      </c>
      <c r="I1542" s="15" t="s">
        <v>45</v>
      </c>
      <c r="J1542" s="15" t="s">
        <v>291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</row>
    <row r="1543" spans="1:35" s="13" customFormat="1" ht="12" customHeight="1" x14ac:dyDescent="0.25">
      <c r="A1543" s="9">
        <v>1541</v>
      </c>
      <c r="B1543" s="14" t="s">
        <v>3576</v>
      </c>
      <c r="C1543" s="14" t="s">
        <v>2128</v>
      </c>
      <c r="D1543" s="13" t="s">
        <v>14</v>
      </c>
      <c r="E1543" s="15" t="s">
        <v>1208</v>
      </c>
      <c r="F1543" s="20">
        <f>DATE(2019,5,20)</f>
        <v>43605</v>
      </c>
      <c r="G1543" s="13" t="s">
        <v>63</v>
      </c>
      <c r="H1543" s="13">
        <v>1</v>
      </c>
      <c r="I1543" s="15" t="s">
        <v>45</v>
      </c>
      <c r="J1543" s="15" t="s">
        <v>291</v>
      </c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</row>
    <row r="1544" spans="1:35" s="13" customFormat="1" ht="12" customHeight="1" x14ac:dyDescent="0.25">
      <c r="A1544" s="9">
        <v>1542</v>
      </c>
      <c r="B1544" s="14" t="s">
        <v>3577</v>
      </c>
      <c r="C1544" s="14" t="s">
        <v>3578</v>
      </c>
      <c r="D1544" s="13" t="s">
        <v>31</v>
      </c>
      <c r="E1544" s="15" t="str">
        <f t="shared" ref="E1544:E1551" si="37">B1544</f>
        <v>Tiagabine</v>
      </c>
      <c r="F1544" s="20">
        <f>DATE(2018,2,18)</f>
        <v>43149</v>
      </c>
      <c r="G1544" s="13">
        <v>1997</v>
      </c>
      <c r="H1544" s="13">
        <v>1</v>
      </c>
      <c r="I1544" s="15" t="s">
        <v>100</v>
      </c>
      <c r="J1544" s="15" t="s">
        <v>630</v>
      </c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</row>
    <row r="1545" spans="1:35" s="13" customFormat="1" ht="12" customHeight="1" x14ac:dyDescent="0.25">
      <c r="A1545" s="9">
        <v>1543</v>
      </c>
      <c r="B1545" s="14" t="s">
        <v>3579</v>
      </c>
      <c r="C1545" s="14" t="s">
        <v>3580</v>
      </c>
      <c r="D1545" s="13" t="s">
        <v>14</v>
      </c>
      <c r="E1545" s="15" t="str">
        <f t="shared" si="37"/>
        <v>Tibolone</v>
      </c>
      <c r="F1545" s="20">
        <f>DATE(2020,9,2)</f>
        <v>44076</v>
      </c>
      <c r="G1545" s="13" t="s">
        <v>512</v>
      </c>
      <c r="H1545" s="13">
        <v>1</v>
      </c>
      <c r="I1545" s="15" t="s">
        <v>473</v>
      </c>
      <c r="J1545" s="15" t="s">
        <v>590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</row>
    <row r="1546" spans="1:35" s="13" customFormat="1" ht="12" customHeight="1" x14ac:dyDescent="0.25">
      <c r="A1546" s="9">
        <v>1544</v>
      </c>
      <c r="B1546" s="14" t="s">
        <v>3581</v>
      </c>
      <c r="C1546" s="14" t="s">
        <v>3582</v>
      </c>
      <c r="D1546" s="13" t="s">
        <v>36</v>
      </c>
      <c r="E1546" s="15" t="str">
        <f t="shared" si="37"/>
        <v>Ticagrelor</v>
      </c>
      <c r="F1546" s="20">
        <f>DATE(2020,9,25)</f>
        <v>44099</v>
      </c>
      <c r="G1546" s="13">
        <v>2011</v>
      </c>
      <c r="H1546" s="13">
        <v>1</v>
      </c>
      <c r="I1546" s="15" t="s">
        <v>230</v>
      </c>
      <c r="J1546" s="15" t="s">
        <v>308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</row>
    <row r="1547" spans="1:35" s="13" customFormat="1" ht="12" customHeight="1" x14ac:dyDescent="0.25">
      <c r="A1547" s="9">
        <v>1545</v>
      </c>
      <c r="B1547" s="14" t="s">
        <v>3583</v>
      </c>
      <c r="C1547" s="14" t="s">
        <v>3584</v>
      </c>
      <c r="D1547" s="13" t="s">
        <v>36</v>
      </c>
      <c r="E1547" s="15" t="str">
        <f t="shared" si="37"/>
        <v>Ticarcillin</v>
      </c>
      <c r="F1547" s="20">
        <f>DATE(2020,10,20)</f>
        <v>44124</v>
      </c>
      <c r="G1547" s="13">
        <v>1976</v>
      </c>
      <c r="H1547" s="13">
        <v>1</v>
      </c>
      <c r="I1547" s="15" t="s">
        <v>15</v>
      </c>
      <c r="J1547" s="15" t="s">
        <v>225</v>
      </c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</row>
    <row r="1548" spans="1:35" s="13" customFormat="1" ht="12" customHeight="1" x14ac:dyDescent="0.25">
      <c r="A1548" s="9">
        <v>1546</v>
      </c>
      <c r="B1548" s="14" t="s">
        <v>3585</v>
      </c>
      <c r="C1548" s="14" t="s">
        <v>3586</v>
      </c>
      <c r="D1548" s="13" t="s">
        <v>36</v>
      </c>
      <c r="E1548" s="15" t="str">
        <f t="shared" si="37"/>
        <v>Ticarcillin/Clavulanate</v>
      </c>
      <c r="F1548" s="20">
        <f>DATE(2020,10,20)</f>
        <v>44124</v>
      </c>
      <c r="G1548" s="13">
        <v>1985</v>
      </c>
      <c r="H1548" s="13">
        <v>1</v>
      </c>
      <c r="I1548" s="15" t="s">
        <v>15</v>
      </c>
      <c r="J1548" s="15" t="s">
        <v>225</v>
      </c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</row>
    <row r="1549" spans="1:35" s="13" customFormat="1" ht="12" customHeight="1" x14ac:dyDescent="0.25">
      <c r="A1549" s="9">
        <v>1547</v>
      </c>
      <c r="B1549" s="14" t="s">
        <v>3587</v>
      </c>
      <c r="C1549" s="14" t="s">
        <v>3588</v>
      </c>
      <c r="D1549" s="13" t="s">
        <v>166</v>
      </c>
      <c r="E1549" s="15" t="str">
        <f t="shared" si="37"/>
        <v>Ticlopidine</v>
      </c>
      <c r="F1549" s="20">
        <f>DATE(2020,9,25)</f>
        <v>44099</v>
      </c>
      <c r="G1549" s="13">
        <v>1985</v>
      </c>
      <c r="H1549" s="13">
        <v>1</v>
      </c>
      <c r="I1549" s="15" t="s">
        <v>230</v>
      </c>
      <c r="J1549" s="15" t="s">
        <v>709</v>
      </c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</row>
    <row r="1550" spans="1:35" s="13" customFormat="1" ht="12" customHeight="1" x14ac:dyDescent="0.25">
      <c r="A1550" s="9">
        <v>1548</v>
      </c>
      <c r="B1550" s="14" t="s">
        <v>3589</v>
      </c>
      <c r="C1550" s="14" t="s">
        <v>3590</v>
      </c>
      <c r="D1550" s="13" t="s">
        <v>44</v>
      </c>
      <c r="E1550" s="15" t="str">
        <f t="shared" si="37"/>
        <v>Tigecycline</v>
      </c>
      <c r="F1550" s="20">
        <f>DATE(2025,4,10)</f>
        <v>45757</v>
      </c>
      <c r="G1550" s="13">
        <v>2005</v>
      </c>
      <c r="H1550" s="13">
        <v>1</v>
      </c>
      <c r="I1550" s="15" t="s">
        <v>15</v>
      </c>
      <c r="J1550" s="15" t="s">
        <v>225</v>
      </c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</row>
    <row r="1551" spans="1:35" s="13" customFormat="1" ht="12" customHeight="1" x14ac:dyDescent="0.25">
      <c r="A1551" s="9">
        <v>1549</v>
      </c>
      <c r="B1551" s="14" t="s">
        <v>3591</v>
      </c>
      <c r="C1551" s="14" t="s">
        <v>3592</v>
      </c>
      <c r="D1551" s="13" t="s">
        <v>23</v>
      </c>
      <c r="E1551" s="15" t="str">
        <f t="shared" si="37"/>
        <v>Tildrakizumab</v>
      </c>
      <c r="F1551" s="20">
        <f>DATE(2018,10,20)</f>
        <v>43393</v>
      </c>
      <c r="G1551" s="13">
        <v>2018</v>
      </c>
      <c r="H1551" s="13">
        <v>1</v>
      </c>
      <c r="I1551" s="15" t="s">
        <v>32</v>
      </c>
      <c r="J1551" s="15" t="s">
        <v>3593</v>
      </c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</row>
    <row r="1552" spans="1:35" s="13" customFormat="1" ht="12" customHeight="1" x14ac:dyDescent="0.25">
      <c r="A1552" s="9">
        <v>1550</v>
      </c>
      <c r="B1552" s="14" t="s">
        <v>3594</v>
      </c>
      <c r="C1552" s="14" t="s">
        <v>3595</v>
      </c>
      <c r="D1552" s="13" t="s">
        <v>77</v>
      </c>
      <c r="E1552" s="15"/>
      <c r="F1552" s="20"/>
      <c r="G1552" s="13">
        <v>1997</v>
      </c>
      <c r="H1552" s="13">
        <v>0</v>
      </c>
      <c r="I1552" s="15" t="s">
        <v>45</v>
      </c>
      <c r="J1552" s="15" t="s">
        <v>144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</row>
    <row r="1553" spans="1:35" s="13" customFormat="1" ht="12" customHeight="1" x14ac:dyDescent="0.25">
      <c r="A1553" s="9">
        <v>1551</v>
      </c>
      <c r="B1553" s="14" t="s">
        <v>3596</v>
      </c>
      <c r="C1553" s="14" t="s">
        <v>3597</v>
      </c>
      <c r="D1553" s="13" t="s">
        <v>31</v>
      </c>
      <c r="E1553" s="15" t="str">
        <f>B1553</f>
        <v>Timolol</v>
      </c>
      <c r="F1553" s="20">
        <f>DATE(2019,5,3)</f>
        <v>43588</v>
      </c>
      <c r="G1553" s="13">
        <v>1995</v>
      </c>
      <c r="H1553" s="13">
        <v>1</v>
      </c>
      <c r="I1553" s="15" t="s">
        <v>49</v>
      </c>
      <c r="J1553" s="15" t="s">
        <v>50</v>
      </c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</row>
    <row r="1554" spans="1:35" s="13" customFormat="1" ht="12" customHeight="1" x14ac:dyDescent="0.25">
      <c r="A1554" s="9">
        <v>1552</v>
      </c>
      <c r="B1554" s="14" t="s">
        <v>3598</v>
      </c>
      <c r="C1554" s="14" t="s">
        <v>335</v>
      </c>
      <c r="D1554" s="13" t="s">
        <v>31</v>
      </c>
      <c r="E1554" s="15" t="s">
        <v>688</v>
      </c>
      <c r="F1554" s="20">
        <f>DATE(2019,6,5)</f>
        <v>43621</v>
      </c>
      <c r="G1554" s="13" t="s">
        <v>174</v>
      </c>
      <c r="H1554" s="13">
        <v>1</v>
      </c>
      <c r="I1554" s="15" t="s">
        <v>66</v>
      </c>
      <c r="J1554" s="15" t="s">
        <v>3599</v>
      </c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</row>
    <row r="1555" spans="1:35" s="13" customFormat="1" ht="12" customHeight="1" x14ac:dyDescent="0.25">
      <c r="A1555" s="9">
        <v>1553</v>
      </c>
      <c r="B1555" s="14" t="s">
        <v>3600</v>
      </c>
      <c r="C1555" s="14" t="s">
        <v>3601</v>
      </c>
      <c r="D1555" s="13" t="s">
        <v>23</v>
      </c>
      <c r="E1555" s="15" t="str">
        <f>B1555</f>
        <v>Tinidazole</v>
      </c>
      <c r="F1555" s="20">
        <f>DATE(2020,2,20)</f>
        <v>43881</v>
      </c>
      <c r="G1555" s="13">
        <v>2004</v>
      </c>
      <c r="H1555" s="13">
        <v>1</v>
      </c>
      <c r="I1555" s="15" t="s">
        <v>15</v>
      </c>
      <c r="J1555" s="15" t="s">
        <v>122</v>
      </c>
      <c r="K1555" s="14"/>
    </row>
    <row r="1556" spans="1:35" s="13" customFormat="1" ht="12" customHeight="1" x14ac:dyDescent="0.25">
      <c r="A1556" s="9">
        <v>1554</v>
      </c>
      <c r="B1556" s="15" t="s">
        <v>3602</v>
      </c>
      <c r="C1556" s="14" t="s">
        <v>3603</v>
      </c>
      <c r="D1556" s="13" t="s">
        <v>166</v>
      </c>
      <c r="E1556" s="15" t="s">
        <v>3603</v>
      </c>
      <c r="F1556" s="20">
        <f>DATE(2025,6,27)</f>
        <v>45835</v>
      </c>
      <c r="G1556" s="13" t="s">
        <v>174</v>
      </c>
      <c r="H1556" s="13">
        <v>1</v>
      </c>
      <c r="I1556" s="15" t="s">
        <v>2150</v>
      </c>
      <c r="J1556" s="15" t="s">
        <v>3604</v>
      </c>
    </row>
    <row r="1557" spans="1:35" s="13" customFormat="1" ht="12" customHeight="1" x14ac:dyDescent="0.25">
      <c r="A1557" s="9">
        <v>1555</v>
      </c>
      <c r="B1557" s="14" t="s">
        <v>3605</v>
      </c>
      <c r="C1557" s="14" t="s">
        <v>3606</v>
      </c>
      <c r="D1557" s="13" t="s">
        <v>31</v>
      </c>
      <c r="E1557" s="15" t="s">
        <v>1082</v>
      </c>
      <c r="F1557" s="20">
        <f>DATE(2017,11,13)</f>
        <v>43052</v>
      </c>
      <c r="G1557" s="13">
        <v>2000</v>
      </c>
      <c r="H1557" s="13">
        <v>1</v>
      </c>
      <c r="I1557" s="15" t="s">
        <v>230</v>
      </c>
      <c r="J1557" s="15" t="s">
        <v>308</v>
      </c>
      <c r="K1557" s="14"/>
    </row>
    <row r="1558" spans="1:35" s="13" customFormat="1" ht="12" customHeight="1" x14ac:dyDescent="0.25">
      <c r="A1558" s="9">
        <v>1556</v>
      </c>
      <c r="B1558" s="14" t="s">
        <v>3607</v>
      </c>
      <c r="C1558" s="14" t="s">
        <v>3608</v>
      </c>
      <c r="D1558" s="13" t="s">
        <v>31</v>
      </c>
      <c r="E1558" s="15" t="str">
        <f>B1558</f>
        <v>Tiotropium</v>
      </c>
      <c r="F1558" s="20">
        <f>DATE(2017,7,17)</f>
        <v>42933</v>
      </c>
      <c r="G1558" s="13">
        <v>2004</v>
      </c>
      <c r="H1558" s="13">
        <v>1</v>
      </c>
      <c r="I1558" s="15" t="s">
        <v>73</v>
      </c>
      <c r="J1558" s="15" t="s">
        <v>128</v>
      </c>
      <c r="K1558" s="14"/>
    </row>
    <row r="1559" spans="1:35" s="13" customFormat="1" ht="12" customHeight="1" x14ac:dyDescent="0.25">
      <c r="A1559" s="9">
        <v>1557</v>
      </c>
      <c r="B1559" s="14" t="s">
        <v>3609</v>
      </c>
      <c r="C1559" s="14" t="s">
        <v>3610</v>
      </c>
      <c r="D1559" s="13" t="s">
        <v>23</v>
      </c>
      <c r="E1559" s="15" t="str">
        <f>B1559</f>
        <v>Tipranavir</v>
      </c>
      <c r="F1559" s="20">
        <f>DATE(2017,9,11)</f>
        <v>42989</v>
      </c>
      <c r="G1559" s="13">
        <v>2005</v>
      </c>
      <c r="H1559" s="13">
        <v>1</v>
      </c>
      <c r="I1559" s="15" t="s">
        <v>15</v>
      </c>
      <c r="J1559" s="15" t="s">
        <v>16</v>
      </c>
      <c r="K1559" s="14"/>
    </row>
    <row r="1560" spans="1:35" s="13" customFormat="1" ht="12" customHeight="1" x14ac:dyDescent="0.25">
      <c r="A1560" s="9">
        <v>1558</v>
      </c>
      <c r="B1560" s="14" t="s">
        <v>3611</v>
      </c>
      <c r="C1560" s="14" t="s">
        <v>3612</v>
      </c>
      <c r="D1560" s="13" t="s">
        <v>77</v>
      </c>
      <c r="E1560" s="15"/>
      <c r="F1560" s="20"/>
      <c r="G1560" s="13">
        <v>1998</v>
      </c>
      <c r="H1560" s="13">
        <v>0</v>
      </c>
      <c r="I1560" s="15" t="s">
        <v>230</v>
      </c>
      <c r="J1560" s="15" t="s">
        <v>709</v>
      </c>
      <c r="K1560" s="14"/>
    </row>
    <row r="1561" spans="1:35" s="13" customFormat="1" ht="12" customHeight="1" x14ac:dyDescent="0.25">
      <c r="A1561" s="9">
        <v>1559</v>
      </c>
      <c r="B1561" s="14" t="s">
        <v>3613</v>
      </c>
      <c r="C1561" s="14" t="s">
        <v>3614</v>
      </c>
      <c r="D1561" s="13" t="s">
        <v>14</v>
      </c>
      <c r="E1561" s="15" t="s">
        <v>3613</v>
      </c>
      <c r="F1561" s="20">
        <f>DATE(2025,6,27)</f>
        <v>45835</v>
      </c>
      <c r="G1561" s="13">
        <v>2022</v>
      </c>
      <c r="H1561" s="13">
        <v>1</v>
      </c>
      <c r="I1561" s="15" t="s">
        <v>45</v>
      </c>
      <c r="J1561" s="15" t="s">
        <v>3615</v>
      </c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</row>
    <row r="1562" spans="1:35" s="13" customFormat="1" ht="12" customHeight="1" x14ac:dyDescent="0.25">
      <c r="A1562" s="9">
        <v>1560</v>
      </c>
      <c r="B1562" s="14" t="s">
        <v>3616</v>
      </c>
      <c r="C1562" s="14" t="s">
        <v>3617</v>
      </c>
      <c r="D1562" s="13" t="s">
        <v>77</v>
      </c>
      <c r="E1562" s="14" t="s">
        <v>3616</v>
      </c>
      <c r="F1562" s="20"/>
      <c r="G1562" s="13">
        <v>2024</v>
      </c>
      <c r="H1562" s="13">
        <v>0</v>
      </c>
      <c r="I1562" s="14" t="s">
        <v>24</v>
      </c>
      <c r="J1562" s="14" t="s">
        <v>3618</v>
      </c>
    </row>
    <row r="1563" spans="1:35" s="13" customFormat="1" ht="12" customHeight="1" x14ac:dyDescent="0.25">
      <c r="A1563" s="9">
        <v>1561</v>
      </c>
      <c r="B1563" s="14" t="s">
        <v>3619</v>
      </c>
      <c r="C1563" s="14" t="s">
        <v>3620</v>
      </c>
      <c r="D1563" s="13" t="s">
        <v>31</v>
      </c>
      <c r="E1563" s="15" t="s">
        <v>3619</v>
      </c>
      <c r="F1563" s="20">
        <f>DATE(2023,11,30)</f>
        <v>45260</v>
      </c>
      <c r="G1563" s="16">
        <v>2021</v>
      </c>
      <c r="H1563" s="13">
        <v>1</v>
      </c>
      <c r="I1563" s="15" t="s">
        <v>24</v>
      </c>
      <c r="J1563" s="15" t="s">
        <v>3621</v>
      </c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</row>
    <row r="1564" spans="1:35" s="13" customFormat="1" ht="12" customHeight="1" x14ac:dyDescent="0.25">
      <c r="A1564" s="9">
        <v>1562</v>
      </c>
      <c r="B1564" s="14" t="s">
        <v>3622</v>
      </c>
      <c r="C1564" s="14" t="s">
        <v>3623</v>
      </c>
      <c r="D1564" s="13" t="s">
        <v>23</v>
      </c>
      <c r="E1564" s="15" t="s">
        <v>3622</v>
      </c>
      <c r="F1564" s="20">
        <f>DATE(2023,12,23)</f>
        <v>45283</v>
      </c>
      <c r="G1564" s="16">
        <v>2021</v>
      </c>
      <c r="H1564" s="13">
        <v>1</v>
      </c>
      <c r="I1564" s="15" t="s">
        <v>24</v>
      </c>
      <c r="J1564" s="15" t="s">
        <v>3624</v>
      </c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</row>
    <row r="1565" spans="1:35" s="13" customFormat="1" ht="12" customHeight="1" x14ac:dyDescent="0.25">
      <c r="A1565" s="9">
        <v>1563</v>
      </c>
      <c r="B1565" s="14" t="s">
        <v>3625</v>
      </c>
      <c r="C1565" s="14" t="s">
        <v>3626</v>
      </c>
      <c r="D1565" s="13" t="s">
        <v>14</v>
      </c>
      <c r="E1565" s="15" t="str">
        <f>B1565</f>
        <v>Tizanidine</v>
      </c>
      <c r="F1565" s="20">
        <f>DATE(2017,1,30)</f>
        <v>42765</v>
      </c>
      <c r="G1565" s="13">
        <v>1996</v>
      </c>
      <c r="H1565" s="13">
        <v>1</v>
      </c>
      <c r="I1565" s="15" t="s">
        <v>100</v>
      </c>
      <c r="J1565" s="15" t="s">
        <v>451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</row>
    <row r="1566" spans="1:35" s="13" customFormat="1" ht="12" customHeight="1" x14ac:dyDescent="0.25">
      <c r="A1566" s="9">
        <v>1564</v>
      </c>
      <c r="B1566" s="14" t="s">
        <v>3627</v>
      </c>
      <c r="C1566" s="14" t="s">
        <v>3628</v>
      </c>
      <c r="D1566" s="13" t="s">
        <v>36</v>
      </c>
      <c r="E1566" s="15" t="str">
        <f>B1566</f>
        <v>Tobramycin</v>
      </c>
      <c r="F1566" s="20">
        <f>DATE(2018,3,4)</f>
        <v>43163</v>
      </c>
      <c r="G1566" s="13">
        <v>1980</v>
      </c>
      <c r="H1566" s="13">
        <v>1</v>
      </c>
      <c r="I1566" s="15" t="s">
        <v>15</v>
      </c>
      <c r="J1566" s="15" t="s">
        <v>225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</row>
    <row r="1567" spans="1:35" s="13" customFormat="1" ht="12" customHeight="1" x14ac:dyDescent="0.25">
      <c r="A1567" s="9">
        <v>1565</v>
      </c>
      <c r="B1567" s="14" t="s">
        <v>3629</v>
      </c>
      <c r="C1567" s="14" t="s">
        <v>3630</v>
      </c>
      <c r="D1567" s="13" t="s">
        <v>14</v>
      </c>
      <c r="E1567" s="15" t="str">
        <f>B1567</f>
        <v>Tocilizumab</v>
      </c>
      <c r="F1567" s="20">
        <f>DATE(2021,5,5)</f>
        <v>44321</v>
      </c>
      <c r="G1567" s="13">
        <v>2010</v>
      </c>
      <c r="H1567" s="13">
        <v>1</v>
      </c>
      <c r="I1567" s="15" t="s">
        <v>19</v>
      </c>
      <c r="J1567" s="15" t="s">
        <v>94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</row>
    <row r="1568" spans="1:35" s="13" customFormat="1" ht="12" customHeight="1" x14ac:dyDescent="0.25">
      <c r="A1568" s="9">
        <v>1566</v>
      </c>
      <c r="B1568" s="14" t="s">
        <v>3631</v>
      </c>
      <c r="C1568" s="14" t="s">
        <v>3632</v>
      </c>
      <c r="D1568" s="13" t="s">
        <v>23</v>
      </c>
      <c r="E1568" s="15" t="str">
        <f>B1568</f>
        <v>Tofacitinib</v>
      </c>
      <c r="F1568" s="20">
        <f>DATE(2022,8,30)</f>
        <v>44803</v>
      </c>
      <c r="G1568" s="13">
        <v>2012</v>
      </c>
      <c r="H1568" s="13">
        <v>1</v>
      </c>
      <c r="I1568" s="15" t="s">
        <v>19</v>
      </c>
      <c r="J1568" s="15" t="s">
        <v>94</v>
      </c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</row>
    <row r="1569" spans="1:35" s="13" customFormat="1" ht="12" customHeight="1" x14ac:dyDescent="0.25">
      <c r="A1569" s="9">
        <v>1567</v>
      </c>
      <c r="B1569" s="14" t="s">
        <v>3633</v>
      </c>
      <c r="C1569" s="14" t="s">
        <v>3634</v>
      </c>
      <c r="D1569" s="13" t="s">
        <v>31</v>
      </c>
      <c r="E1569" s="14" t="s">
        <v>3633</v>
      </c>
      <c r="F1569" s="20">
        <f>DATE(2025,3,12)</f>
        <v>45728</v>
      </c>
      <c r="G1569" s="13">
        <v>2023</v>
      </c>
      <c r="H1569" s="13">
        <v>1</v>
      </c>
      <c r="I1569" s="15" t="s">
        <v>100</v>
      </c>
      <c r="J1569" s="15" t="s">
        <v>3635</v>
      </c>
    </row>
    <row r="1570" spans="1:35" s="13" customFormat="1" ht="12" customHeight="1" x14ac:dyDescent="0.25">
      <c r="A1570" s="9">
        <v>1568</v>
      </c>
      <c r="B1570" s="14" t="s">
        <v>3636</v>
      </c>
      <c r="C1570" s="14" t="s">
        <v>3637</v>
      </c>
      <c r="D1570" s="13" t="s">
        <v>44</v>
      </c>
      <c r="E1570" s="15" t="s">
        <v>62</v>
      </c>
      <c r="F1570" s="20">
        <f>DATE(2018,3,16)</f>
        <v>43175</v>
      </c>
      <c r="G1570" s="13">
        <v>1984</v>
      </c>
      <c r="H1570" s="13">
        <v>1</v>
      </c>
      <c r="I1570" s="15" t="s">
        <v>45</v>
      </c>
      <c r="J1570" s="15" t="s">
        <v>46</v>
      </c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</row>
    <row r="1571" spans="1:35" s="13" customFormat="1" ht="12" customHeight="1" x14ac:dyDescent="0.25">
      <c r="A1571" s="9">
        <v>1569</v>
      </c>
      <c r="B1571" s="14" t="s">
        <v>3638</v>
      </c>
      <c r="C1571" s="14" t="s">
        <v>3639</v>
      </c>
      <c r="D1571" s="13" t="s">
        <v>23</v>
      </c>
      <c r="E1571" s="15" t="str">
        <f>B1571</f>
        <v>Tolbutamide</v>
      </c>
      <c r="F1571" s="20">
        <f>DATE(2018,3,16)</f>
        <v>43175</v>
      </c>
      <c r="G1571" s="13">
        <v>1962</v>
      </c>
      <c r="H1571" s="13">
        <v>1</v>
      </c>
      <c r="I1571" s="15" t="s">
        <v>45</v>
      </c>
      <c r="J1571" s="15" t="s">
        <v>46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</row>
    <row r="1572" spans="1:35" s="13" customFormat="1" ht="12" customHeight="1" x14ac:dyDescent="0.25">
      <c r="A1572" s="9">
        <v>1570</v>
      </c>
      <c r="B1572" s="14" t="s">
        <v>3640</v>
      </c>
      <c r="C1572" s="14" t="s">
        <v>3641</v>
      </c>
      <c r="D1572" s="13" t="s">
        <v>14</v>
      </c>
      <c r="E1572" s="15" t="str">
        <f>B1572</f>
        <v>Tolcapone</v>
      </c>
      <c r="F1572" s="20">
        <f>DATE(2021,10,25)</f>
        <v>44494</v>
      </c>
      <c r="G1572" s="13">
        <v>1998</v>
      </c>
      <c r="H1572" s="13">
        <v>1</v>
      </c>
      <c r="I1572" s="15" t="s">
        <v>100</v>
      </c>
      <c r="J1572" s="15" t="s">
        <v>210</v>
      </c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</row>
    <row r="1573" spans="1:35" s="13" customFormat="1" ht="12" customHeight="1" x14ac:dyDescent="0.25">
      <c r="A1573" s="9">
        <v>1571</v>
      </c>
      <c r="B1573" s="14" t="s">
        <v>3642</v>
      </c>
      <c r="C1573" s="14" t="s">
        <v>3643</v>
      </c>
      <c r="D1573" s="13" t="s">
        <v>36</v>
      </c>
      <c r="E1573" s="15" t="str">
        <f>B1573</f>
        <v>Tolmetin</v>
      </c>
      <c r="F1573" s="20">
        <f>DATE(2025,8,10)</f>
        <v>45879</v>
      </c>
      <c r="G1573" s="13">
        <v>1976</v>
      </c>
      <c r="H1573" s="13">
        <v>1</v>
      </c>
      <c r="I1573" s="15" t="s">
        <v>54</v>
      </c>
      <c r="J1573" s="15" t="s">
        <v>55</v>
      </c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</row>
    <row r="1574" spans="1:35" s="13" customFormat="1" ht="12" customHeight="1" x14ac:dyDescent="0.25">
      <c r="A1574" s="9">
        <v>1572</v>
      </c>
      <c r="B1574" s="14" t="s">
        <v>3644</v>
      </c>
      <c r="C1574" s="14" t="s">
        <v>3645</v>
      </c>
      <c r="D1574" s="13" t="s">
        <v>36</v>
      </c>
      <c r="E1574" s="15" t="str">
        <f>B1574</f>
        <v>Tolterodine</v>
      </c>
      <c r="F1574" s="20">
        <f>DATE(2023,7,12)</f>
        <v>45119</v>
      </c>
      <c r="G1574" s="13">
        <v>1998</v>
      </c>
      <c r="H1574" s="13">
        <v>1</v>
      </c>
      <c r="I1574" s="15" t="s">
        <v>151</v>
      </c>
      <c r="J1574" s="15" t="s">
        <v>1108</v>
      </c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</row>
    <row r="1575" spans="1:35" s="13" customFormat="1" ht="12" customHeight="1" x14ac:dyDescent="0.25">
      <c r="A1575" s="9">
        <v>1573</v>
      </c>
      <c r="B1575" s="14" t="s">
        <v>3646</v>
      </c>
      <c r="C1575" s="14" t="s">
        <v>3647</v>
      </c>
      <c r="D1575" s="13" t="s">
        <v>14</v>
      </c>
      <c r="E1575" s="15" t="str">
        <f>B1575</f>
        <v>Tolvaptan</v>
      </c>
      <c r="F1575" s="20">
        <f>DATE(2020,9,2)</f>
        <v>44076</v>
      </c>
      <c r="G1575" s="13">
        <v>2009</v>
      </c>
      <c r="H1575" s="13">
        <v>1</v>
      </c>
      <c r="I1575" s="15" t="s">
        <v>49</v>
      </c>
      <c r="J1575" s="15" t="s">
        <v>3648</v>
      </c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</row>
    <row r="1576" spans="1:35" s="13" customFormat="1" ht="12" customHeight="1" x14ac:dyDescent="0.25">
      <c r="A1576" s="9">
        <v>1574</v>
      </c>
      <c r="B1576" s="15" t="s">
        <v>3649</v>
      </c>
      <c r="C1576" s="14" t="s">
        <v>3650</v>
      </c>
      <c r="D1576" s="13" t="s">
        <v>36</v>
      </c>
      <c r="E1576" s="15" t="s">
        <v>3651</v>
      </c>
      <c r="F1576" s="20">
        <f>DATE(2024,10,18)</f>
        <v>45583</v>
      </c>
      <c r="G1576" s="13" t="s">
        <v>174</v>
      </c>
      <c r="H1576" s="13">
        <v>1</v>
      </c>
      <c r="I1576" s="15" t="s">
        <v>2150</v>
      </c>
      <c r="J1576" s="15" t="s">
        <v>3652</v>
      </c>
    </row>
    <row r="1577" spans="1:35" s="13" customFormat="1" ht="12" customHeight="1" x14ac:dyDescent="0.25">
      <c r="A1577" s="9">
        <v>1575</v>
      </c>
      <c r="B1577" s="14" t="s">
        <v>3653</v>
      </c>
      <c r="C1577" s="14" t="s">
        <v>3654</v>
      </c>
      <c r="D1577" s="13" t="s">
        <v>14</v>
      </c>
      <c r="E1577" s="15" t="str">
        <f>B1577</f>
        <v>Topiramate</v>
      </c>
      <c r="F1577" s="20">
        <f>DATE(2020,7,30)</f>
        <v>44042</v>
      </c>
      <c r="G1577" s="13">
        <v>1996</v>
      </c>
      <c r="H1577" s="13">
        <v>1</v>
      </c>
      <c r="I1577" s="15" t="s">
        <v>100</v>
      </c>
      <c r="J1577" s="15" t="s">
        <v>630</v>
      </c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</row>
    <row r="1578" spans="1:35" s="13" customFormat="1" ht="12" customHeight="1" x14ac:dyDescent="0.25">
      <c r="A1578" s="9">
        <v>1576</v>
      </c>
      <c r="B1578" s="14" t="s">
        <v>3655</v>
      </c>
      <c r="C1578" s="14" t="s">
        <v>3656</v>
      </c>
      <c r="D1578" s="13" t="s">
        <v>23</v>
      </c>
      <c r="E1578" s="15" t="s">
        <v>1972</v>
      </c>
      <c r="F1578" s="20">
        <f>DATE(2018,5,1)</f>
        <v>43221</v>
      </c>
      <c r="G1578" s="13">
        <v>2007</v>
      </c>
      <c r="H1578" s="13">
        <v>1</v>
      </c>
      <c r="I1578" s="15" t="s">
        <v>24</v>
      </c>
      <c r="J1578" s="15" t="s">
        <v>207</v>
      </c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</row>
    <row r="1579" spans="1:35" s="13" customFormat="1" ht="12" customHeight="1" x14ac:dyDescent="0.25">
      <c r="A1579" s="9">
        <v>1577</v>
      </c>
      <c r="B1579" s="14" t="s">
        <v>3657</v>
      </c>
      <c r="C1579" s="14" t="s">
        <v>3658</v>
      </c>
      <c r="D1579" s="13" t="s">
        <v>36</v>
      </c>
      <c r="E1579" s="15" t="str">
        <f>B1579</f>
        <v>Toremifene</v>
      </c>
      <c r="F1579" s="20">
        <f>DATE(2017,10,2)</f>
        <v>43010</v>
      </c>
      <c r="G1579" s="13">
        <v>1997</v>
      </c>
      <c r="H1579" s="13">
        <v>1</v>
      </c>
      <c r="I1579" s="15" t="s">
        <v>24</v>
      </c>
      <c r="J1579" s="15" t="s">
        <v>284</v>
      </c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</row>
    <row r="1580" spans="1:35" s="13" customFormat="1" ht="12" customHeight="1" x14ac:dyDescent="0.25">
      <c r="A1580" s="9">
        <v>1578</v>
      </c>
      <c r="B1580" s="14" t="s">
        <v>3659</v>
      </c>
      <c r="C1580" s="14" t="s">
        <v>3660</v>
      </c>
      <c r="D1580" s="13" t="s">
        <v>31</v>
      </c>
      <c r="E1580" s="15" t="s">
        <v>649</v>
      </c>
      <c r="F1580" s="20">
        <f>DATE(2021,10,5)</f>
        <v>44474</v>
      </c>
      <c r="G1580" s="13">
        <v>1993</v>
      </c>
      <c r="H1580" s="13">
        <v>1</v>
      </c>
      <c r="I1580" s="15" t="s">
        <v>49</v>
      </c>
      <c r="J1580" s="15" t="s">
        <v>59</v>
      </c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</row>
    <row r="1581" spans="1:35" s="13" customFormat="1" ht="12" customHeight="1" x14ac:dyDescent="0.25">
      <c r="A1581" s="9">
        <v>1579</v>
      </c>
      <c r="B1581" s="14" t="s">
        <v>3661</v>
      </c>
      <c r="C1581" s="14" t="s">
        <v>3662</v>
      </c>
      <c r="D1581" s="13" t="s">
        <v>23</v>
      </c>
      <c r="E1581" s="15" t="str">
        <f>B1581</f>
        <v>Tositumomab</v>
      </c>
      <c r="F1581" s="20">
        <f>DATE(2020,4,20)</f>
        <v>43941</v>
      </c>
      <c r="G1581" s="13">
        <v>2003</v>
      </c>
      <c r="H1581" s="13">
        <v>1</v>
      </c>
      <c r="I1581" s="15" t="s">
        <v>24</v>
      </c>
      <c r="J1581" s="15" t="s">
        <v>487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</row>
    <row r="1582" spans="1:35" s="13" customFormat="1" ht="12" customHeight="1" x14ac:dyDescent="0.25">
      <c r="A1582" s="9">
        <v>1580</v>
      </c>
      <c r="B1582" s="14" t="s">
        <v>3663</v>
      </c>
      <c r="C1582" s="34" t="s">
        <v>3664</v>
      </c>
      <c r="D1582" s="33" t="s">
        <v>23</v>
      </c>
      <c r="E1582" s="14" t="s">
        <v>3663</v>
      </c>
      <c r="F1582" s="20">
        <f>DATE(2025,4,5)</f>
        <v>45752</v>
      </c>
      <c r="G1582" s="13">
        <v>2024</v>
      </c>
      <c r="H1582" s="13">
        <v>1</v>
      </c>
      <c r="I1582" s="14" t="s">
        <v>24</v>
      </c>
      <c r="J1582" s="14" t="s">
        <v>3665</v>
      </c>
    </row>
    <row r="1583" spans="1:35" s="13" customFormat="1" ht="12" customHeight="1" x14ac:dyDescent="0.25">
      <c r="A1583" s="9">
        <v>1581</v>
      </c>
      <c r="B1583" s="14" t="s">
        <v>3666</v>
      </c>
      <c r="C1583" s="14" t="s">
        <v>3667</v>
      </c>
      <c r="D1583" s="13" t="s">
        <v>131</v>
      </c>
      <c r="E1583" s="15" t="str">
        <f>B1583</f>
        <v>Trabectedin</v>
      </c>
      <c r="F1583" s="20">
        <f>DATE(2022,11,20)</f>
        <v>44885</v>
      </c>
      <c r="G1583" s="13">
        <v>2015</v>
      </c>
      <c r="H1583" s="13">
        <v>1</v>
      </c>
      <c r="I1583" s="15" t="s">
        <v>24</v>
      </c>
      <c r="J1583" s="15" t="s">
        <v>3668</v>
      </c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</row>
    <row r="1584" spans="1:35" s="13" customFormat="1" ht="12" customHeight="1" x14ac:dyDescent="0.25">
      <c r="A1584" s="9">
        <v>1582</v>
      </c>
      <c r="B1584" s="14" t="s">
        <v>3669</v>
      </c>
      <c r="C1584" s="14" t="s">
        <v>3670</v>
      </c>
      <c r="D1584" s="13" t="s">
        <v>31</v>
      </c>
      <c r="E1584" s="15" t="s">
        <v>3669</v>
      </c>
      <c r="F1584" s="20">
        <f>DATE(2023,2,20)</f>
        <v>44977</v>
      </c>
      <c r="G1584" s="16">
        <v>2021</v>
      </c>
      <c r="H1584" s="13">
        <v>1</v>
      </c>
      <c r="I1584" s="15" t="s">
        <v>32</v>
      </c>
      <c r="J1584" s="15" t="s">
        <v>33</v>
      </c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</row>
    <row r="1585" spans="1:35" s="13" customFormat="1" ht="12" customHeight="1" x14ac:dyDescent="0.25">
      <c r="A1585" s="9">
        <v>1583</v>
      </c>
      <c r="B1585" s="14" t="s">
        <v>3671</v>
      </c>
      <c r="C1585" s="14" t="s">
        <v>3672</v>
      </c>
      <c r="D1585" s="13" t="s">
        <v>23</v>
      </c>
      <c r="E1585" s="15" t="str">
        <f>B1585</f>
        <v>Tramadol</v>
      </c>
      <c r="F1585" s="20">
        <f>DATE(2020,11,24)</f>
        <v>44159</v>
      </c>
      <c r="G1585" s="13">
        <v>1995</v>
      </c>
      <c r="H1585" s="13">
        <v>1</v>
      </c>
      <c r="I1585" s="15" t="s">
        <v>54</v>
      </c>
      <c r="J1585" s="15" t="s">
        <v>984</v>
      </c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</row>
    <row r="1586" spans="1:35" s="13" customFormat="1" ht="12" customHeight="1" x14ac:dyDescent="0.25">
      <c r="A1586" s="9">
        <v>1584</v>
      </c>
      <c r="B1586" s="14" t="s">
        <v>3673</v>
      </c>
      <c r="C1586" s="34" t="s">
        <v>3674</v>
      </c>
      <c r="D1586" s="13" t="s">
        <v>23</v>
      </c>
      <c r="E1586" s="15" t="str">
        <f>B1586</f>
        <v>Trametinib</v>
      </c>
      <c r="F1586" s="20">
        <f>DATE(2018,6,26)</f>
        <v>43277</v>
      </c>
      <c r="G1586" s="13">
        <v>2013</v>
      </c>
      <c r="H1586" s="13">
        <v>1</v>
      </c>
      <c r="I1586" s="15" t="s">
        <v>24</v>
      </c>
      <c r="J1586" s="15" t="s">
        <v>570</v>
      </c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</row>
    <row r="1587" spans="1:35" s="13" customFormat="1" ht="12" customHeight="1" x14ac:dyDescent="0.25">
      <c r="A1587" s="9">
        <v>1585</v>
      </c>
      <c r="B1587" s="14" t="s">
        <v>3675</v>
      </c>
      <c r="C1587" s="14" t="s">
        <v>3676</v>
      </c>
      <c r="D1587" s="13" t="s">
        <v>23</v>
      </c>
      <c r="E1587" s="15" t="str">
        <f>B1587</f>
        <v>Trandolapril</v>
      </c>
      <c r="F1587" s="20">
        <f>DATE(2017,1,15)</f>
        <v>42750</v>
      </c>
      <c r="G1587" s="13">
        <v>1996</v>
      </c>
      <c r="H1587" s="13">
        <v>1</v>
      </c>
      <c r="I1587" s="15" t="s">
        <v>49</v>
      </c>
      <c r="J1587" s="15" t="s">
        <v>50</v>
      </c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</row>
    <row r="1588" spans="1:35" s="13" customFormat="1" ht="12" customHeight="1" x14ac:dyDescent="0.25">
      <c r="A1588" s="9">
        <v>1586</v>
      </c>
      <c r="B1588" s="14" t="s">
        <v>3677</v>
      </c>
      <c r="C1588" s="14" t="s">
        <v>3678</v>
      </c>
      <c r="D1588" s="13" t="s">
        <v>77</v>
      </c>
      <c r="E1588" s="15"/>
      <c r="F1588" s="20"/>
      <c r="G1588" s="13">
        <v>2009</v>
      </c>
      <c r="H1588" s="13">
        <v>0</v>
      </c>
      <c r="I1588" s="15" t="s">
        <v>230</v>
      </c>
      <c r="J1588" s="15" t="s">
        <v>3679</v>
      </c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</row>
    <row r="1589" spans="1:35" s="13" customFormat="1" ht="12" customHeight="1" x14ac:dyDescent="0.25">
      <c r="A1589" s="9">
        <v>1587</v>
      </c>
      <c r="B1589" s="14" t="s">
        <v>3680</v>
      </c>
      <c r="C1589" s="14" t="s">
        <v>3681</v>
      </c>
      <c r="D1589" s="13" t="s">
        <v>36</v>
      </c>
      <c r="E1589" s="15" t="str">
        <f>B1589</f>
        <v>Tranylcypromine</v>
      </c>
      <c r="F1589" s="20">
        <f>DATE(2020,4,8)</f>
        <v>43929</v>
      </c>
      <c r="G1589" s="13">
        <v>1961</v>
      </c>
      <c r="H1589" s="13">
        <v>1</v>
      </c>
      <c r="I1589" s="15" t="s">
        <v>100</v>
      </c>
      <c r="J1589" s="15" t="s">
        <v>250</v>
      </c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</row>
    <row r="1590" spans="1:35" s="13" customFormat="1" ht="12" customHeight="1" x14ac:dyDescent="0.25">
      <c r="A1590" s="9">
        <v>1588</v>
      </c>
      <c r="B1590" s="14" t="s">
        <v>3682</v>
      </c>
      <c r="C1590" s="14" t="s">
        <v>3683</v>
      </c>
      <c r="D1590" s="13" t="s">
        <v>14</v>
      </c>
      <c r="E1590" s="15" t="s">
        <v>3684</v>
      </c>
      <c r="F1590" s="20">
        <f>DATE(2024,1,30)</f>
        <v>45321</v>
      </c>
      <c r="G1590" s="13">
        <v>1998</v>
      </c>
      <c r="H1590" s="13">
        <v>1</v>
      </c>
      <c r="I1590" s="15" t="s">
        <v>24</v>
      </c>
      <c r="J1590" s="15" t="s">
        <v>284</v>
      </c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</row>
    <row r="1591" spans="1:35" s="13" customFormat="1" ht="12" customHeight="1" x14ac:dyDescent="0.25">
      <c r="A1591" s="9">
        <v>1589</v>
      </c>
      <c r="B1591" s="14" t="s">
        <v>3685</v>
      </c>
      <c r="C1591" s="14" t="s">
        <v>3686</v>
      </c>
      <c r="D1591" s="13" t="s">
        <v>23</v>
      </c>
      <c r="E1591" s="15" t="s">
        <v>3687</v>
      </c>
      <c r="F1591" s="20">
        <f>DATE(2024,1,30)</f>
        <v>45321</v>
      </c>
      <c r="G1591" s="13">
        <v>2019</v>
      </c>
      <c r="H1591" s="13">
        <v>1</v>
      </c>
      <c r="I1591" s="15" t="s">
        <v>24</v>
      </c>
      <c r="J1591" s="15" t="s">
        <v>3688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</row>
    <row r="1592" spans="1:35" s="13" customFormat="1" ht="12" customHeight="1" x14ac:dyDescent="0.25">
      <c r="A1592" s="9">
        <v>1590</v>
      </c>
      <c r="B1592" s="14" t="s">
        <v>3689</v>
      </c>
      <c r="C1592" s="14" t="s">
        <v>3690</v>
      </c>
      <c r="D1592" s="13" t="s">
        <v>44</v>
      </c>
      <c r="E1592" s="15" t="s">
        <v>3684</v>
      </c>
      <c r="F1592" s="20">
        <f>DATE(2024,1,30)</f>
        <v>45321</v>
      </c>
      <c r="G1592" s="13">
        <v>2013</v>
      </c>
      <c r="H1592" s="13">
        <v>1</v>
      </c>
      <c r="I1592" s="15" t="s">
        <v>24</v>
      </c>
      <c r="J1592" s="15" t="s">
        <v>3691</v>
      </c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</row>
    <row r="1593" spans="1:35" s="13" customFormat="1" ht="12" customHeight="1" x14ac:dyDescent="0.25">
      <c r="A1593" s="9">
        <v>1591</v>
      </c>
      <c r="B1593" s="14" t="s">
        <v>3692</v>
      </c>
      <c r="C1593" s="14" t="s">
        <v>3693</v>
      </c>
      <c r="D1593" s="13" t="s">
        <v>44</v>
      </c>
      <c r="E1593" s="15" t="str">
        <f>B1593</f>
        <v>Trazodone</v>
      </c>
      <c r="F1593" s="20">
        <f>DATE(2020,2,26)</f>
        <v>43887</v>
      </c>
      <c r="G1593" s="13">
        <v>1981</v>
      </c>
      <c r="H1593" s="13">
        <v>1</v>
      </c>
      <c r="I1593" s="15" t="s">
        <v>100</v>
      </c>
      <c r="J1593" s="15" t="s">
        <v>250</v>
      </c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</row>
    <row r="1594" spans="1:35" s="13" customFormat="1" ht="12" customHeight="1" x14ac:dyDescent="0.25">
      <c r="A1594" s="9">
        <v>1592</v>
      </c>
      <c r="B1594" s="14" t="s">
        <v>3694</v>
      </c>
      <c r="C1594" s="14" t="s">
        <v>3695</v>
      </c>
      <c r="D1594" s="13" t="s">
        <v>14</v>
      </c>
      <c r="E1594" s="15" t="s">
        <v>3694</v>
      </c>
      <c r="F1594" s="20">
        <f>DATE(2023,1,15)</f>
        <v>44941</v>
      </c>
      <c r="G1594" s="35">
        <v>2022</v>
      </c>
      <c r="H1594" s="13">
        <v>1</v>
      </c>
      <c r="I1594" s="15" t="s">
        <v>24</v>
      </c>
      <c r="J1594" s="15" t="s">
        <v>3696</v>
      </c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</row>
    <row r="1595" spans="1:35" s="13" customFormat="1" ht="12" customHeight="1" x14ac:dyDescent="0.3">
      <c r="A1595" s="9">
        <v>1593</v>
      </c>
      <c r="B1595" s="14" t="s">
        <v>3697</v>
      </c>
      <c r="C1595" s="14" t="s">
        <v>3698</v>
      </c>
      <c r="D1595" s="13" t="s">
        <v>77</v>
      </c>
      <c r="E1595" s="14" t="s">
        <v>3697</v>
      </c>
      <c r="G1595" s="13">
        <v>2025</v>
      </c>
      <c r="H1595" s="16">
        <v>0</v>
      </c>
      <c r="I1595" s="15" t="s">
        <v>1916</v>
      </c>
      <c r="J1595" s="15" t="s">
        <v>3699</v>
      </c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</row>
    <row r="1596" spans="1:35" s="13" customFormat="1" ht="12" customHeight="1" x14ac:dyDescent="0.25">
      <c r="A1596" s="9">
        <v>1594</v>
      </c>
      <c r="B1596" s="14" t="s">
        <v>3700</v>
      </c>
      <c r="C1596" s="14" t="s">
        <v>3701</v>
      </c>
      <c r="D1596" s="13" t="s">
        <v>31</v>
      </c>
      <c r="E1596" s="15" t="s">
        <v>1474</v>
      </c>
      <c r="F1596" s="20">
        <f>DATE(2018,2,15)</f>
        <v>43146</v>
      </c>
      <c r="G1596" s="13">
        <v>2002</v>
      </c>
      <c r="H1596" s="13">
        <v>1</v>
      </c>
      <c r="I1596" s="15" t="s">
        <v>73</v>
      </c>
      <c r="J1596" s="15" t="s">
        <v>216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</row>
    <row r="1597" spans="1:35" s="13" customFormat="1" ht="12" customHeight="1" x14ac:dyDescent="0.25">
      <c r="A1597" s="9">
        <v>1595</v>
      </c>
      <c r="B1597" s="14" t="s">
        <v>3702</v>
      </c>
      <c r="C1597" s="14" t="s">
        <v>3703</v>
      </c>
      <c r="D1597" s="13" t="s">
        <v>31</v>
      </c>
      <c r="E1597" s="15" t="s">
        <v>1993</v>
      </c>
      <c r="F1597" s="20">
        <f>DATE(2020,11,10)</f>
        <v>44145</v>
      </c>
      <c r="G1597" s="13">
        <v>1971</v>
      </c>
      <c r="H1597" s="13">
        <v>1</v>
      </c>
      <c r="I1597" s="15" t="s">
        <v>24</v>
      </c>
      <c r="J1597" s="15" t="s">
        <v>596</v>
      </c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</row>
    <row r="1598" spans="1:35" s="13" customFormat="1" ht="12" customHeight="1" x14ac:dyDescent="0.25">
      <c r="A1598" s="9">
        <v>1596</v>
      </c>
      <c r="B1598" s="14" t="s">
        <v>3704</v>
      </c>
      <c r="C1598" s="14" t="s">
        <v>3705</v>
      </c>
      <c r="D1598" s="13" t="s">
        <v>31</v>
      </c>
      <c r="E1598" s="15" t="s">
        <v>536</v>
      </c>
      <c r="F1598" s="20">
        <f>DATE(2021,5,5)</f>
        <v>44321</v>
      </c>
      <c r="G1598" s="13">
        <v>1957</v>
      </c>
      <c r="H1598" s="13">
        <v>1</v>
      </c>
      <c r="I1598" s="15" t="s">
        <v>45</v>
      </c>
      <c r="J1598" s="15" t="s">
        <v>537</v>
      </c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</row>
    <row r="1599" spans="1:35" s="13" customFormat="1" ht="12" customHeight="1" x14ac:dyDescent="0.25">
      <c r="A1599" s="9">
        <v>1597</v>
      </c>
      <c r="B1599" s="14" t="s">
        <v>3706</v>
      </c>
      <c r="C1599" s="14" t="s">
        <v>3707</v>
      </c>
      <c r="D1599" s="13" t="s">
        <v>36</v>
      </c>
      <c r="E1599" s="15" t="str">
        <f>B1599</f>
        <v>Triamterene</v>
      </c>
      <c r="F1599" s="20">
        <f>DATE(2021,10,13)</f>
        <v>44482</v>
      </c>
      <c r="G1599" s="13">
        <v>1964</v>
      </c>
      <c r="H1599" s="13">
        <v>1</v>
      </c>
      <c r="I1599" s="15" t="s">
        <v>49</v>
      </c>
      <c r="J1599" s="15" t="s">
        <v>59</v>
      </c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</row>
    <row r="1600" spans="1:35" s="13" customFormat="1" ht="12" customHeight="1" x14ac:dyDescent="0.25">
      <c r="A1600" s="9">
        <v>1598</v>
      </c>
      <c r="B1600" s="14" t="s">
        <v>3708</v>
      </c>
      <c r="C1600" s="14" t="s">
        <v>3709</v>
      </c>
      <c r="D1600" s="13" t="s">
        <v>23</v>
      </c>
      <c r="E1600" s="15" t="str">
        <f>B1600</f>
        <v>Triazolam</v>
      </c>
      <c r="F1600" s="20">
        <f>DATE(2023,6,22)</f>
        <v>45099</v>
      </c>
      <c r="G1600" s="13">
        <v>1982</v>
      </c>
      <c r="H1600" s="13">
        <v>1</v>
      </c>
      <c r="I1600" s="15" t="s">
        <v>100</v>
      </c>
      <c r="J1600" s="15" t="s">
        <v>204</v>
      </c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</row>
    <row r="1601" spans="1:35" s="13" customFormat="1" ht="12" customHeight="1" x14ac:dyDescent="0.25">
      <c r="A1601" s="9">
        <v>1599</v>
      </c>
      <c r="B1601" s="14" t="s">
        <v>3710</v>
      </c>
      <c r="C1601" s="14" t="s">
        <v>188</v>
      </c>
      <c r="D1601" s="13" t="s">
        <v>36</v>
      </c>
      <c r="E1601" s="15" t="s">
        <v>3710</v>
      </c>
      <c r="F1601" s="20">
        <f>DATE(2022,8,8)</f>
        <v>44781</v>
      </c>
      <c r="G1601" s="13" t="s">
        <v>174</v>
      </c>
      <c r="H1601" s="13">
        <v>1</v>
      </c>
      <c r="I1601" s="15" t="s">
        <v>175</v>
      </c>
      <c r="J1601" s="15" t="s">
        <v>1849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</row>
    <row r="1602" spans="1:35" s="13" customFormat="1" ht="12" customHeight="1" x14ac:dyDescent="0.25">
      <c r="A1602" s="9">
        <v>1600</v>
      </c>
      <c r="B1602" s="14" t="s">
        <v>3711</v>
      </c>
      <c r="C1602" s="14" t="s">
        <v>3712</v>
      </c>
      <c r="D1602" s="13" t="s">
        <v>31</v>
      </c>
      <c r="E1602" s="15" t="str">
        <f>B1602</f>
        <v>Triclabendazole</v>
      </c>
      <c r="F1602" s="20">
        <f>DATE(2021,9,1)</f>
        <v>44440</v>
      </c>
      <c r="G1602" s="13">
        <v>2019</v>
      </c>
      <c r="H1602" s="13">
        <v>1</v>
      </c>
      <c r="I1602" s="15" t="s">
        <v>791</v>
      </c>
      <c r="J1602" s="15" t="s">
        <v>3713</v>
      </c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</row>
    <row r="1603" spans="1:35" s="13" customFormat="1" ht="12" customHeight="1" x14ac:dyDescent="0.25">
      <c r="A1603" s="9">
        <v>1601</v>
      </c>
      <c r="B1603" s="14" t="s">
        <v>3714</v>
      </c>
      <c r="C1603" s="14" t="s">
        <v>3715</v>
      </c>
      <c r="D1603" s="13" t="s">
        <v>31</v>
      </c>
      <c r="E1603" s="15" t="str">
        <f>B1603</f>
        <v>Trientine</v>
      </c>
      <c r="F1603" s="20">
        <f>DATE(2020,7,25)</f>
        <v>44037</v>
      </c>
      <c r="G1603" s="13">
        <v>1985</v>
      </c>
      <c r="H1603" s="13">
        <v>1</v>
      </c>
      <c r="I1603" s="15" t="s">
        <v>66</v>
      </c>
      <c r="J1603" s="15" t="s">
        <v>2833</v>
      </c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</row>
    <row r="1604" spans="1:35" s="13" customFormat="1" ht="12" customHeight="1" x14ac:dyDescent="0.25">
      <c r="A1604" s="9">
        <v>1602</v>
      </c>
      <c r="B1604" s="14" t="s">
        <v>3716</v>
      </c>
      <c r="C1604" s="14" t="s">
        <v>3717</v>
      </c>
      <c r="D1604" s="13" t="s">
        <v>36</v>
      </c>
      <c r="E1604" s="15" t="str">
        <f>B1604</f>
        <v>Trifluoperazine</v>
      </c>
      <c r="F1604" s="20">
        <f>DATE(2020,7,1)</f>
        <v>44013</v>
      </c>
      <c r="G1604" s="13">
        <v>1959</v>
      </c>
      <c r="H1604" s="13">
        <v>1</v>
      </c>
      <c r="I1604" s="15" t="s">
        <v>100</v>
      </c>
      <c r="J1604" s="15" t="s">
        <v>328</v>
      </c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</row>
    <row r="1605" spans="1:35" s="13" customFormat="1" ht="12" customHeight="1" x14ac:dyDescent="0.25">
      <c r="A1605" s="9">
        <v>1603</v>
      </c>
      <c r="B1605" s="14" t="s">
        <v>3718</v>
      </c>
      <c r="C1605" s="14" t="s">
        <v>3719</v>
      </c>
      <c r="D1605" s="13" t="s">
        <v>31</v>
      </c>
      <c r="E1605" s="15" t="str">
        <f>B1605</f>
        <v>Trifluridine/Tipiracil</v>
      </c>
      <c r="F1605" s="20">
        <f>DATE(2017,4,25)</f>
        <v>42850</v>
      </c>
      <c r="G1605" s="13">
        <v>2015</v>
      </c>
      <c r="H1605" s="13">
        <v>1</v>
      </c>
      <c r="I1605" s="15" t="s">
        <v>24</v>
      </c>
      <c r="J1605" s="15" t="s">
        <v>3079</v>
      </c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</row>
    <row r="1606" spans="1:35" s="13" customFormat="1" ht="12" customHeight="1" x14ac:dyDescent="0.25">
      <c r="A1606" s="9">
        <v>1604</v>
      </c>
      <c r="B1606" s="14" t="s">
        <v>3720</v>
      </c>
      <c r="C1606" s="14" t="s">
        <v>3721</v>
      </c>
      <c r="D1606" s="13" t="s">
        <v>31</v>
      </c>
      <c r="E1606" s="15" t="s">
        <v>3720</v>
      </c>
      <c r="F1606" s="20">
        <f>DATE(2024,6,5)</f>
        <v>45448</v>
      </c>
      <c r="G1606" s="16">
        <v>2020</v>
      </c>
      <c r="H1606" s="13">
        <v>1</v>
      </c>
      <c r="I1606" s="15" t="s">
        <v>190</v>
      </c>
      <c r="J1606" s="15" t="s">
        <v>3722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</row>
    <row r="1607" spans="1:35" s="13" customFormat="1" ht="12" customHeight="1" x14ac:dyDescent="0.25">
      <c r="A1607" s="9">
        <v>1605</v>
      </c>
      <c r="B1607" s="14" t="s">
        <v>3723</v>
      </c>
      <c r="C1607" s="14" t="s">
        <v>3724</v>
      </c>
      <c r="D1607" s="13" t="s">
        <v>23</v>
      </c>
      <c r="E1607" s="15" t="str">
        <f>B1607</f>
        <v>Trihexyphenidyl</v>
      </c>
      <c r="F1607" s="20">
        <f>DATE(2017,7,20)</f>
        <v>42936</v>
      </c>
      <c r="G1607" s="13">
        <v>1949</v>
      </c>
      <c r="H1607" s="13">
        <v>1</v>
      </c>
      <c r="I1607" s="15" t="s">
        <v>100</v>
      </c>
      <c r="J1607" s="15" t="s">
        <v>210</v>
      </c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</row>
    <row r="1608" spans="1:35" s="13" customFormat="1" ht="12" customHeight="1" x14ac:dyDescent="0.25">
      <c r="A1608" s="9">
        <v>1606</v>
      </c>
      <c r="B1608" s="14" t="s">
        <v>3725</v>
      </c>
      <c r="C1608" s="14" t="s">
        <v>2159</v>
      </c>
      <c r="D1608" s="13" t="s">
        <v>23</v>
      </c>
      <c r="E1608" s="15" t="s">
        <v>1208</v>
      </c>
      <c r="F1608" s="20">
        <f>DATE(2019,5,20)</f>
        <v>43605</v>
      </c>
      <c r="G1608" s="13">
        <v>1956</v>
      </c>
      <c r="H1608" s="13">
        <v>1</v>
      </c>
      <c r="I1608" s="15" t="s">
        <v>45</v>
      </c>
      <c r="J1608" s="15" t="s">
        <v>291</v>
      </c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</row>
    <row r="1609" spans="1:35" s="13" customFormat="1" ht="12" customHeight="1" x14ac:dyDescent="0.25">
      <c r="A1609" s="9">
        <v>1607</v>
      </c>
      <c r="B1609" s="14" t="s">
        <v>3726</v>
      </c>
      <c r="C1609" s="14" t="s">
        <v>3727</v>
      </c>
      <c r="D1609" s="13" t="s">
        <v>31</v>
      </c>
      <c r="E1609" s="15" t="s">
        <v>3726</v>
      </c>
      <c r="F1609" s="20">
        <f>DATE(2023,10,23)</f>
        <v>45222</v>
      </c>
      <c r="G1609" s="16">
        <v>2021</v>
      </c>
      <c r="H1609" s="13">
        <v>1</v>
      </c>
      <c r="I1609" s="15" t="s">
        <v>24</v>
      </c>
      <c r="J1609" s="15" t="s">
        <v>3728</v>
      </c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</row>
    <row r="1610" spans="1:35" s="13" customFormat="1" ht="12" customHeight="1" x14ac:dyDescent="0.25">
      <c r="A1610" s="9">
        <v>1608</v>
      </c>
      <c r="B1610" s="14" t="s">
        <v>3729</v>
      </c>
      <c r="C1610" s="14" t="s">
        <v>3730</v>
      </c>
      <c r="D1610" s="13" t="s">
        <v>36</v>
      </c>
      <c r="E1610" s="15" t="str">
        <f>B1610</f>
        <v>Trimethobenzamide</v>
      </c>
      <c r="F1610" s="20">
        <f>DATE(2020,9,2)</f>
        <v>44076</v>
      </c>
      <c r="G1610" s="13">
        <v>1974</v>
      </c>
      <c r="H1610" s="13">
        <v>1</v>
      </c>
      <c r="I1610" s="15" t="s">
        <v>182</v>
      </c>
      <c r="J1610" s="15" t="s">
        <v>318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</row>
    <row r="1611" spans="1:35" s="13" customFormat="1" ht="12" customHeight="1" x14ac:dyDescent="0.25">
      <c r="A1611" s="9">
        <v>1609</v>
      </c>
      <c r="B1611" s="14" t="s">
        <v>3731</v>
      </c>
      <c r="C1611" s="14" t="s">
        <v>3732</v>
      </c>
      <c r="D1611" s="13" t="s">
        <v>14</v>
      </c>
      <c r="E1611" s="15" t="s">
        <v>3733</v>
      </c>
      <c r="F1611" s="20">
        <f>DATE(2017,12,5)</f>
        <v>43074</v>
      </c>
      <c r="G1611" s="13">
        <v>1980</v>
      </c>
      <c r="H1611" s="13">
        <v>1</v>
      </c>
      <c r="I1611" s="15" t="s">
        <v>15</v>
      </c>
      <c r="J1611" s="15" t="s">
        <v>225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</row>
    <row r="1612" spans="1:35" s="13" customFormat="1" ht="12" customHeight="1" x14ac:dyDescent="0.25">
      <c r="A1612" s="9">
        <v>1610</v>
      </c>
      <c r="B1612" s="14" t="s">
        <v>3734</v>
      </c>
      <c r="C1612" s="14" t="s">
        <v>3735</v>
      </c>
      <c r="D1612" s="13" t="s">
        <v>23</v>
      </c>
      <c r="E1612" s="15" t="str">
        <f>B1612</f>
        <v>Trimetrexate</v>
      </c>
      <c r="F1612" s="20">
        <f>DATE(2016,4,18)</f>
        <v>42478</v>
      </c>
      <c r="G1612" s="13">
        <v>1993</v>
      </c>
      <c r="H1612" s="13">
        <v>1</v>
      </c>
      <c r="I1612" s="15" t="s">
        <v>24</v>
      </c>
      <c r="J1612" s="15" t="s">
        <v>207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</row>
    <row r="1613" spans="1:35" s="13" customFormat="1" ht="12" customHeight="1" x14ac:dyDescent="0.25">
      <c r="A1613" s="9">
        <v>1611</v>
      </c>
      <c r="B1613" s="14" t="s">
        <v>3736</v>
      </c>
      <c r="C1613" s="14" t="s">
        <v>3737</v>
      </c>
      <c r="D1613" s="13" t="s">
        <v>36</v>
      </c>
      <c r="E1613" s="15" t="str">
        <f>B1613</f>
        <v>Trimipramine</v>
      </c>
      <c r="F1613" s="20">
        <f>DATE(2020,4,5)</f>
        <v>43926</v>
      </c>
      <c r="G1613" s="13">
        <v>1979</v>
      </c>
      <c r="H1613" s="13">
        <v>1</v>
      </c>
      <c r="I1613" s="15" t="s">
        <v>100</v>
      </c>
      <c r="J1613" s="15" t="s">
        <v>250</v>
      </c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</row>
    <row r="1614" spans="1:35" s="13" customFormat="1" ht="12" customHeight="1" x14ac:dyDescent="0.25">
      <c r="A1614" s="9">
        <v>1612</v>
      </c>
      <c r="B1614" s="14" t="s">
        <v>3738</v>
      </c>
      <c r="C1614" s="14" t="s">
        <v>3739</v>
      </c>
      <c r="D1614" s="13" t="s">
        <v>31</v>
      </c>
      <c r="E1614" s="15" t="str">
        <f>B1614</f>
        <v>Triprolidine</v>
      </c>
      <c r="F1614" s="20">
        <f>DATE(2017,1,17)</f>
        <v>42752</v>
      </c>
      <c r="G1614" s="13" t="s">
        <v>174</v>
      </c>
      <c r="H1614" s="13">
        <v>1</v>
      </c>
      <c r="I1614" s="15" t="s">
        <v>73</v>
      </c>
      <c r="J1614" s="15" t="s">
        <v>85</v>
      </c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</row>
    <row r="1615" spans="1:35" s="13" customFormat="1" ht="12" customHeight="1" x14ac:dyDescent="0.25">
      <c r="A1615" s="9">
        <v>1613</v>
      </c>
      <c r="B1615" s="14" t="s">
        <v>3740</v>
      </c>
      <c r="C1615" s="14" t="s">
        <v>3741</v>
      </c>
      <c r="D1615" s="13" t="s">
        <v>31</v>
      </c>
      <c r="E1615" s="15" t="str">
        <f>B1615</f>
        <v>Triptorelin</v>
      </c>
      <c r="F1615" s="20">
        <f>DATE(2018,3,22)</f>
        <v>43181</v>
      </c>
      <c r="G1615" s="13">
        <v>2000</v>
      </c>
      <c r="H1615" s="13">
        <v>1</v>
      </c>
      <c r="I1615" s="15" t="s">
        <v>24</v>
      </c>
      <c r="J1615" s="15" t="s">
        <v>28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</row>
    <row r="1616" spans="1:35" s="13" customFormat="1" ht="12" customHeight="1" x14ac:dyDescent="0.25">
      <c r="A1616" s="9">
        <v>1614</v>
      </c>
      <c r="B1616" s="14" t="s">
        <v>898</v>
      </c>
      <c r="C1616" s="14" t="s">
        <v>3742</v>
      </c>
      <c r="D1616" s="13" t="s">
        <v>53</v>
      </c>
      <c r="E1616" s="15" t="str">
        <f>B1616</f>
        <v>Trisalicylate</v>
      </c>
      <c r="F1616" s="20">
        <f>DATE(2020,8,15)</f>
        <v>44058</v>
      </c>
      <c r="G1616" s="13" t="s">
        <v>63</v>
      </c>
      <c r="H1616" s="13">
        <v>1</v>
      </c>
      <c r="I1616" s="15" t="s">
        <v>54</v>
      </c>
      <c r="J1616" s="15" t="s">
        <v>55</v>
      </c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</row>
    <row r="1617" spans="1:35" s="13" customFormat="1" ht="12" customHeight="1" x14ac:dyDescent="0.25">
      <c r="A1617" s="9">
        <v>1615</v>
      </c>
      <c r="B1617" s="14" t="s">
        <v>3743</v>
      </c>
      <c r="C1617" s="14" t="s">
        <v>3744</v>
      </c>
      <c r="D1617" s="13" t="s">
        <v>77</v>
      </c>
      <c r="E1617" s="14" t="s">
        <v>3743</v>
      </c>
      <c r="F1617" s="20"/>
      <c r="G1617" s="13">
        <v>2023</v>
      </c>
      <c r="H1617" s="13">
        <v>0</v>
      </c>
      <c r="I1617" s="15" t="s">
        <v>100</v>
      </c>
      <c r="J1617" s="15" t="s">
        <v>3745</v>
      </c>
    </row>
    <row r="1618" spans="1:35" s="13" customFormat="1" ht="12" customHeight="1" x14ac:dyDescent="0.25">
      <c r="A1618" s="9">
        <v>1616</v>
      </c>
      <c r="B1618" s="14" t="s">
        <v>3746</v>
      </c>
      <c r="C1618" s="14" t="s">
        <v>3747</v>
      </c>
      <c r="D1618" s="13" t="s">
        <v>166</v>
      </c>
      <c r="E1618" s="15" t="str">
        <f>B1618</f>
        <v>Troglitazone</v>
      </c>
      <c r="F1618" s="20">
        <f>DATE(2018,6,4)</f>
        <v>43255</v>
      </c>
      <c r="G1618" s="13">
        <v>1997</v>
      </c>
      <c r="H1618" s="13">
        <v>1</v>
      </c>
      <c r="I1618" s="15" t="s">
        <v>45</v>
      </c>
      <c r="J1618" s="15" t="s">
        <v>46</v>
      </c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</row>
    <row r="1619" spans="1:35" s="13" customFormat="1" ht="12" customHeight="1" x14ac:dyDescent="0.25">
      <c r="A1619" s="9">
        <v>1617</v>
      </c>
      <c r="B1619" s="14" t="s">
        <v>3748</v>
      </c>
      <c r="C1619" s="14" t="s">
        <v>3749</v>
      </c>
      <c r="D1619" s="13" t="s">
        <v>31</v>
      </c>
      <c r="E1619" s="15" t="str">
        <f>B1619</f>
        <v>Trospium</v>
      </c>
      <c r="F1619" s="20">
        <f>DATE(2023,7,12)</f>
        <v>45119</v>
      </c>
      <c r="G1619" s="13">
        <v>2004</v>
      </c>
      <c r="H1619" s="13">
        <v>1</v>
      </c>
      <c r="I1619" s="15" t="s">
        <v>151</v>
      </c>
      <c r="J1619" s="15" t="s">
        <v>1108</v>
      </c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</row>
    <row r="1620" spans="1:35" s="13" customFormat="1" ht="12" customHeight="1" x14ac:dyDescent="0.25">
      <c r="A1620" s="9">
        <v>1618</v>
      </c>
      <c r="B1620" s="14" t="s">
        <v>3750</v>
      </c>
      <c r="C1620" s="14" t="s">
        <v>3751</v>
      </c>
      <c r="D1620" s="13" t="s">
        <v>77</v>
      </c>
      <c r="E1620" s="14" t="s">
        <v>3750</v>
      </c>
      <c r="F1620" s="20"/>
      <c r="G1620" s="13">
        <v>2024</v>
      </c>
      <c r="H1620" s="13">
        <v>0</v>
      </c>
      <c r="I1620" s="14" t="s">
        <v>100</v>
      </c>
      <c r="J1620" s="14" t="s">
        <v>3752</v>
      </c>
    </row>
    <row r="1621" spans="1:35" s="13" customFormat="1" ht="12" customHeight="1" x14ac:dyDescent="0.25">
      <c r="A1621" s="9">
        <v>1619</v>
      </c>
      <c r="B1621" s="14" t="s">
        <v>3753</v>
      </c>
      <c r="C1621" s="14" t="s">
        <v>3754</v>
      </c>
      <c r="D1621" s="13" t="s">
        <v>23</v>
      </c>
      <c r="E1621" s="15" t="s">
        <v>3753</v>
      </c>
      <c r="F1621" s="20">
        <f>DATE(2023,9,8)</f>
        <v>45177</v>
      </c>
      <c r="G1621" s="16">
        <v>2020</v>
      </c>
      <c r="H1621" s="13">
        <v>1</v>
      </c>
      <c r="I1621" s="15" t="s">
        <v>24</v>
      </c>
      <c r="J1621" s="15" t="s">
        <v>25</v>
      </c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</row>
    <row r="1622" spans="1:35" s="13" customFormat="1" ht="12" customHeight="1" x14ac:dyDescent="0.25">
      <c r="A1622" s="9">
        <v>1620</v>
      </c>
      <c r="B1622" s="14" t="s">
        <v>3755</v>
      </c>
      <c r="C1622" s="14" t="s">
        <v>3756</v>
      </c>
      <c r="D1622" s="13" t="s">
        <v>166</v>
      </c>
      <c r="E1622" s="15" t="str">
        <f>B1622</f>
        <v>Turmeric</v>
      </c>
      <c r="F1622" s="20">
        <f>DATE(2025,6,16)</f>
        <v>45824</v>
      </c>
      <c r="G1622" s="13" t="s">
        <v>174</v>
      </c>
      <c r="H1622" s="13">
        <v>1</v>
      </c>
      <c r="I1622" s="15" t="s">
        <v>175</v>
      </c>
      <c r="J1622" s="15" t="s">
        <v>3757</v>
      </c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</row>
    <row r="1623" spans="1:35" s="13" customFormat="1" ht="12" customHeight="1" x14ac:dyDescent="0.25">
      <c r="A1623" s="9">
        <v>1621</v>
      </c>
      <c r="B1623" s="14" t="s">
        <v>3758</v>
      </c>
      <c r="C1623" s="14" t="s">
        <v>3759</v>
      </c>
      <c r="D1623" s="13" t="s">
        <v>36</v>
      </c>
      <c r="E1623" s="14" t="s">
        <v>3758</v>
      </c>
      <c r="F1623" s="20">
        <f>DATE(2025,1,24)</f>
        <v>45681</v>
      </c>
      <c r="G1623" s="13">
        <v>2022</v>
      </c>
      <c r="H1623" s="13">
        <v>1</v>
      </c>
      <c r="I1623" s="15" t="s">
        <v>100</v>
      </c>
      <c r="J1623" s="15" t="s">
        <v>3760</v>
      </c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</row>
    <row r="1624" spans="1:35" s="13" customFormat="1" ht="12" customHeight="1" x14ac:dyDescent="0.25">
      <c r="A1624" s="9">
        <v>1622</v>
      </c>
      <c r="B1624" s="14" t="s">
        <v>3761</v>
      </c>
      <c r="C1624" s="14" t="s">
        <v>3762</v>
      </c>
      <c r="D1624" s="13" t="s">
        <v>31</v>
      </c>
      <c r="E1624" s="15" t="str">
        <f>B1624</f>
        <v>Ubrogepant</v>
      </c>
      <c r="F1624" s="20">
        <f>DATE(2025,1,12)</f>
        <v>45669</v>
      </c>
      <c r="G1624" s="13">
        <v>2019</v>
      </c>
      <c r="H1624" s="13">
        <v>1</v>
      </c>
      <c r="I1624" s="15" t="s">
        <v>100</v>
      </c>
      <c r="J1624" s="15" t="s">
        <v>171</v>
      </c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</row>
    <row r="1625" spans="1:35" s="13" customFormat="1" ht="12" customHeight="1" x14ac:dyDescent="0.25">
      <c r="A1625" s="9">
        <v>1623</v>
      </c>
      <c r="B1625" s="14" t="s">
        <v>3763</v>
      </c>
      <c r="C1625" s="14" t="s">
        <v>3764</v>
      </c>
      <c r="D1625" s="13" t="s">
        <v>31</v>
      </c>
      <c r="E1625" s="15" t="s">
        <v>3765</v>
      </c>
      <c r="F1625" s="20">
        <f>DATE(2020,5,24)</f>
        <v>43975</v>
      </c>
      <c r="G1625" s="13">
        <v>2010</v>
      </c>
      <c r="H1625" s="13">
        <v>1</v>
      </c>
      <c r="I1625" s="15" t="s">
        <v>473</v>
      </c>
      <c r="J1625" s="15" t="s">
        <v>2125</v>
      </c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</row>
    <row r="1626" spans="1:35" s="13" customFormat="1" ht="12" customHeight="1" x14ac:dyDescent="0.25">
      <c r="A1626" s="9">
        <v>1624</v>
      </c>
      <c r="B1626" s="14" t="s">
        <v>3766</v>
      </c>
      <c r="C1626" s="14" t="s">
        <v>3767</v>
      </c>
      <c r="D1626" s="13" t="s">
        <v>23</v>
      </c>
      <c r="E1626" s="15" t="s">
        <v>3766</v>
      </c>
      <c r="F1626" s="20">
        <f>DATE(2023,10,8)</f>
        <v>45207</v>
      </c>
      <c r="G1626" s="16">
        <v>2021</v>
      </c>
      <c r="H1626" s="13">
        <v>1</v>
      </c>
      <c r="I1626" s="15" t="s">
        <v>24</v>
      </c>
      <c r="J1626" s="15" t="s">
        <v>487</v>
      </c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</row>
    <row r="1627" spans="1:35" s="13" customFormat="1" ht="12" customHeight="1" x14ac:dyDescent="0.25">
      <c r="A1627" s="9">
        <v>1625</v>
      </c>
      <c r="B1627" s="14" t="s">
        <v>3768</v>
      </c>
      <c r="C1627" s="14" t="s">
        <v>3769</v>
      </c>
      <c r="D1627" s="13" t="s">
        <v>36</v>
      </c>
      <c r="E1627" s="15" t="str">
        <f>B1627</f>
        <v>Upadacitinib</v>
      </c>
      <c r="F1627" s="20">
        <f>DATE(2022,8,30)</f>
        <v>44803</v>
      </c>
      <c r="G1627" s="13">
        <v>2019</v>
      </c>
      <c r="H1627" s="13">
        <v>1</v>
      </c>
      <c r="I1627" s="15" t="s">
        <v>19</v>
      </c>
      <c r="J1627" s="15" t="s">
        <v>3770</v>
      </c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</row>
    <row r="1628" spans="1:35" s="13" customFormat="1" ht="12" customHeight="1" x14ac:dyDescent="0.25">
      <c r="A1628" s="9">
        <v>1626</v>
      </c>
      <c r="B1628" s="14" t="s">
        <v>3771</v>
      </c>
      <c r="C1628" s="14" t="s">
        <v>3772</v>
      </c>
      <c r="D1628" s="13" t="s">
        <v>36</v>
      </c>
      <c r="E1628" s="15" t="str">
        <f>B1628</f>
        <v>Ursodiol</v>
      </c>
      <c r="F1628" s="20">
        <f>DATE(2017,1,24)</f>
        <v>42759</v>
      </c>
      <c r="G1628" s="13">
        <v>1987</v>
      </c>
      <c r="H1628" s="13">
        <v>1</v>
      </c>
      <c r="I1628" s="15" t="s">
        <v>182</v>
      </c>
      <c r="J1628" s="15" t="s">
        <v>2630</v>
      </c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</row>
    <row r="1629" spans="1:35" s="13" customFormat="1" ht="12" customHeight="1" x14ac:dyDescent="0.25">
      <c r="A1629" s="9">
        <v>1627</v>
      </c>
      <c r="B1629" s="14" t="s">
        <v>2033</v>
      </c>
      <c r="C1629" s="14" t="s">
        <v>3773</v>
      </c>
      <c r="D1629" s="13" t="s">
        <v>44</v>
      </c>
      <c r="E1629" s="15" t="str">
        <f>B1629</f>
        <v>Usnic Acid</v>
      </c>
      <c r="F1629" s="20">
        <f>DATE(2018,4,25)</f>
        <v>43215</v>
      </c>
      <c r="G1629" s="13" t="s">
        <v>174</v>
      </c>
      <c r="H1629" s="13">
        <v>1</v>
      </c>
      <c r="I1629" s="15" t="s">
        <v>175</v>
      </c>
      <c r="J1629" s="15" t="s">
        <v>1462</v>
      </c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</row>
    <row r="1630" spans="1:35" s="13" customFormat="1" ht="12" customHeight="1" x14ac:dyDescent="0.25">
      <c r="A1630" s="9">
        <v>1628</v>
      </c>
      <c r="B1630" s="14" t="s">
        <v>3774</v>
      </c>
      <c r="C1630" s="14" t="s">
        <v>3775</v>
      </c>
      <c r="D1630" s="13" t="s">
        <v>23</v>
      </c>
      <c r="E1630" s="15" t="str">
        <f>B1630</f>
        <v>Ustekinumab</v>
      </c>
      <c r="F1630" s="20">
        <f>DATE(2020,4,25)</f>
        <v>43946</v>
      </c>
      <c r="G1630" s="13">
        <v>2009</v>
      </c>
      <c r="H1630" s="13">
        <v>1</v>
      </c>
      <c r="I1630" s="15" t="s">
        <v>32</v>
      </c>
      <c r="J1630" s="15" t="s">
        <v>70</v>
      </c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</row>
    <row r="1631" spans="1:35" s="13" customFormat="1" ht="12" customHeight="1" x14ac:dyDescent="0.25">
      <c r="A1631" s="9">
        <v>1629</v>
      </c>
      <c r="B1631" s="15" t="s">
        <v>3776</v>
      </c>
      <c r="C1631" s="15" t="s">
        <v>188</v>
      </c>
      <c r="D1631" s="13" t="s">
        <v>31</v>
      </c>
      <c r="E1631" s="15" t="str">
        <f>B1631</f>
        <v>Uva-ursi</v>
      </c>
      <c r="F1631" s="20">
        <f>DATE(2020,3,28)</f>
        <v>43918</v>
      </c>
      <c r="G1631" s="13" t="s">
        <v>174</v>
      </c>
      <c r="H1631" s="13">
        <v>1</v>
      </c>
      <c r="I1631" s="15" t="s">
        <v>175</v>
      </c>
      <c r="J1631" s="15" t="s">
        <v>1019</v>
      </c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</row>
    <row r="1632" spans="1:35" s="13" customFormat="1" ht="12" customHeight="1" x14ac:dyDescent="0.25">
      <c r="A1632" s="9">
        <v>1630</v>
      </c>
      <c r="B1632" s="14" t="s">
        <v>3777</v>
      </c>
      <c r="C1632" s="14" t="s">
        <v>3778</v>
      </c>
      <c r="D1632" s="13" t="s">
        <v>77</v>
      </c>
      <c r="E1632" s="15"/>
      <c r="F1632" s="20"/>
      <c r="G1632" s="13">
        <v>2017</v>
      </c>
      <c r="H1632" s="13">
        <v>0</v>
      </c>
      <c r="I1632" s="15" t="s">
        <v>15</v>
      </c>
      <c r="J1632" s="15" t="s">
        <v>3779</v>
      </c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</row>
    <row r="1633" spans="1:35" s="13" customFormat="1" ht="12" customHeight="1" x14ac:dyDescent="0.25">
      <c r="A1633" s="9">
        <v>1631</v>
      </c>
      <c r="B1633" s="14" t="s">
        <v>3780</v>
      </c>
      <c r="C1633" s="14" t="s">
        <v>3781</v>
      </c>
      <c r="D1633" s="13" t="s">
        <v>77</v>
      </c>
      <c r="E1633" s="14" t="s">
        <v>3780</v>
      </c>
      <c r="F1633" s="20"/>
      <c r="G1633" s="13">
        <v>2024</v>
      </c>
      <c r="H1633" s="13">
        <v>0</v>
      </c>
      <c r="I1633" s="14" t="s">
        <v>230</v>
      </c>
      <c r="J1633" s="14" t="s">
        <v>3782</v>
      </c>
    </row>
    <row r="1634" spans="1:35" s="13" customFormat="1" ht="12" customHeight="1" x14ac:dyDescent="0.25">
      <c r="A1634" s="9">
        <v>1632</v>
      </c>
      <c r="B1634" s="14" t="s">
        <v>3783</v>
      </c>
      <c r="C1634" s="14" t="s">
        <v>3784</v>
      </c>
      <c r="D1634" s="13" t="s">
        <v>36</v>
      </c>
      <c r="E1634" s="15" t="str">
        <f>B1634</f>
        <v>Valacyclovir</v>
      </c>
      <c r="F1634" s="20">
        <f>DATE(2020,10,20)</f>
        <v>44124</v>
      </c>
      <c r="G1634" s="13">
        <v>1995</v>
      </c>
      <c r="H1634" s="13">
        <v>1</v>
      </c>
      <c r="I1634" s="15" t="s">
        <v>15</v>
      </c>
      <c r="J1634" s="15" t="s">
        <v>88</v>
      </c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</row>
    <row r="1635" spans="1:35" s="13" customFormat="1" ht="12" customHeight="1" x14ac:dyDescent="0.25">
      <c r="A1635" s="9">
        <v>1633</v>
      </c>
      <c r="B1635" s="14" t="s">
        <v>3785</v>
      </c>
      <c r="C1635" s="14" t="s">
        <v>3786</v>
      </c>
      <c r="D1635" s="13" t="s">
        <v>31</v>
      </c>
      <c r="E1635" s="15" t="s">
        <v>1185</v>
      </c>
      <c r="F1635" s="20">
        <f>DATE(2019,3,12)</f>
        <v>43536</v>
      </c>
      <c r="G1635" s="13">
        <v>2017</v>
      </c>
      <c r="H1635" s="13">
        <v>1</v>
      </c>
      <c r="I1635" s="15" t="s">
        <v>100</v>
      </c>
      <c r="J1635" s="15" t="s">
        <v>3787</v>
      </c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</row>
    <row r="1636" spans="1:35" s="13" customFormat="1" ht="12" customHeight="1" x14ac:dyDescent="0.25">
      <c r="A1636" s="9">
        <v>1634</v>
      </c>
      <c r="B1636" s="14" t="s">
        <v>3788</v>
      </c>
      <c r="C1636" s="14" t="s">
        <v>3789</v>
      </c>
      <c r="D1636" s="13" t="s">
        <v>14</v>
      </c>
      <c r="E1636" s="15" t="str">
        <f>B1636</f>
        <v>Valerian</v>
      </c>
      <c r="F1636" s="20">
        <f>DATE(2020,4,5)</f>
        <v>43926</v>
      </c>
      <c r="G1636" s="13" t="s">
        <v>174</v>
      </c>
      <c r="H1636" s="13">
        <v>1</v>
      </c>
      <c r="I1636" s="15" t="s">
        <v>175</v>
      </c>
      <c r="J1636" s="15" t="s">
        <v>204</v>
      </c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</row>
    <row r="1637" spans="1:35" s="13" customFormat="1" ht="12" customHeight="1" x14ac:dyDescent="0.25">
      <c r="A1637" s="9">
        <v>1635</v>
      </c>
      <c r="B1637" s="14" t="s">
        <v>3790</v>
      </c>
      <c r="C1637" s="14" t="s">
        <v>3791</v>
      </c>
      <c r="D1637" s="13" t="s">
        <v>31</v>
      </c>
      <c r="E1637" s="15" t="s">
        <v>1739</v>
      </c>
      <c r="F1637" s="20">
        <f>DATE(2018,3,5)</f>
        <v>43164</v>
      </c>
      <c r="G1637" s="13">
        <v>2001</v>
      </c>
      <c r="H1637" s="13">
        <v>1</v>
      </c>
      <c r="I1637" s="15" t="s">
        <v>15</v>
      </c>
      <c r="J1637" s="15" t="s">
        <v>88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</row>
    <row r="1638" spans="1:35" s="13" customFormat="1" ht="12" customHeight="1" x14ac:dyDescent="0.25">
      <c r="A1638" s="9">
        <v>1636</v>
      </c>
      <c r="B1638" s="14" t="s">
        <v>3792</v>
      </c>
      <c r="C1638" s="14" t="s">
        <v>3793</v>
      </c>
      <c r="D1638" s="13" t="s">
        <v>166</v>
      </c>
      <c r="E1638" s="15" t="str">
        <f>B1638</f>
        <v>Valproate</v>
      </c>
      <c r="F1638" s="20">
        <f>DATE(2020,7,30)</f>
        <v>44042</v>
      </c>
      <c r="G1638" s="13">
        <v>1978</v>
      </c>
      <c r="H1638" s="13">
        <v>1</v>
      </c>
      <c r="I1638" s="15" t="s">
        <v>100</v>
      </c>
      <c r="J1638" s="15" t="s">
        <v>630</v>
      </c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</row>
    <row r="1639" spans="1:35" s="13" customFormat="1" ht="12" customHeight="1" x14ac:dyDescent="0.25">
      <c r="A1639" s="9">
        <v>1637</v>
      </c>
      <c r="B1639" s="14" t="s">
        <v>3794</v>
      </c>
      <c r="C1639" s="14" t="s">
        <v>3795</v>
      </c>
      <c r="D1639" s="13" t="s">
        <v>31</v>
      </c>
      <c r="E1639" s="15" t="str">
        <f>B1639</f>
        <v>Valrubicin</v>
      </c>
      <c r="F1639" s="20">
        <f>DATE(2018,1,14)</f>
        <v>43114</v>
      </c>
      <c r="G1639" s="13">
        <v>1998</v>
      </c>
      <c r="H1639" s="13">
        <v>1</v>
      </c>
      <c r="I1639" s="15" t="s">
        <v>24</v>
      </c>
      <c r="J1639" s="15" t="s">
        <v>207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</row>
    <row r="1640" spans="1:35" s="13" customFormat="1" ht="12" customHeight="1" x14ac:dyDescent="0.25">
      <c r="A1640" s="9">
        <v>1638</v>
      </c>
      <c r="B1640" s="14" t="s">
        <v>3796</v>
      </c>
      <c r="C1640" s="14" t="s">
        <v>3797</v>
      </c>
      <c r="D1640" s="13" t="s">
        <v>36</v>
      </c>
      <c r="E1640" s="15" t="str">
        <f>B1640</f>
        <v>Valsartan</v>
      </c>
      <c r="F1640" s="33">
        <f>DATE(2017,1,13)</f>
        <v>42748</v>
      </c>
      <c r="G1640" s="13">
        <v>1996</v>
      </c>
      <c r="H1640" s="13">
        <v>1</v>
      </c>
      <c r="I1640" s="15" t="s">
        <v>49</v>
      </c>
      <c r="J1640" s="15" t="s">
        <v>50</v>
      </c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</row>
    <row r="1641" spans="1:35" s="13" customFormat="1" ht="12" customHeight="1" x14ac:dyDescent="0.25">
      <c r="A1641" s="9">
        <v>1639</v>
      </c>
      <c r="B1641" s="14" t="s">
        <v>3798</v>
      </c>
      <c r="C1641" s="14" t="s">
        <v>188</v>
      </c>
      <c r="D1641" s="13" t="s">
        <v>31</v>
      </c>
      <c r="E1641" s="15" t="s">
        <v>688</v>
      </c>
      <c r="F1641" s="20">
        <f>DATE(2019,6,5)</f>
        <v>43621</v>
      </c>
      <c r="G1641" s="13" t="s">
        <v>174</v>
      </c>
      <c r="H1641" s="13">
        <v>1</v>
      </c>
      <c r="I1641" s="15" t="s">
        <v>66</v>
      </c>
      <c r="J1641" s="15" t="s">
        <v>1961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</row>
    <row r="1642" spans="1:35" s="13" customFormat="1" ht="12" customHeight="1" x14ac:dyDescent="0.25">
      <c r="A1642" s="9">
        <v>1640</v>
      </c>
      <c r="B1642" s="14" t="s">
        <v>3799</v>
      </c>
      <c r="C1642" s="14" t="s">
        <v>3800</v>
      </c>
      <c r="D1642" s="13" t="s">
        <v>166</v>
      </c>
      <c r="E1642" s="15" t="str">
        <f>B1642</f>
        <v>Vancomycin</v>
      </c>
      <c r="F1642" s="20">
        <f>DATE(2025,8,5)</f>
        <v>45874</v>
      </c>
      <c r="G1642" s="13">
        <v>1986</v>
      </c>
      <c r="H1642" s="13">
        <v>1</v>
      </c>
      <c r="I1642" s="15" t="s">
        <v>15</v>
      </c>
      <c r="J1642" s="15" t="s">
        <v>225</v>
      </c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</row>
    <row r="1643" spans="1:35" s="13" customFormat="1" ht="12" customHeight="1" x14ac:dyDescent="0.25">
      <c r="A1643" s="9">
        <v>1641</v>
      </c>
      <c r="B1643" s="14" t="s">
        <v>3801</v>
      </c>
      <c r="C1643" s="14" t="s">
        <v>3802</v>
      </c>
      <c r="D1643" s="13" t="s">
        <v>23</v>
      </c>
      <c r="E1643" s="15" t="str">
        <f>B1643</f>
        <v>Vandetanib</v>
      </c>
      <c r="F1643" s="20">
        <f>DATE(2018,6,28)</f>
        <v>43279</v>
      </c>
      <c r="G1643" s="13">
        <v>2011</v>
      </c>
      <c r="H1643" s="13">
        <v>1</v>
      </c>
      <c r="I1643" s="15" t="s">
        <v>24</v>
      </c>
      <c r="J1643" s="15" t="s">
        <v>686</v>
      </c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</row>
    <row r="1644" spans="1:35" s="13" customFormat="1" ht="12" customHeight="1" x14ac:dyDescent="0.25">
      <c r="A1644" s="9">
        <v>1642</v>
      </c>
      <c r="B1644" s="15" t="s">
        <v>3803</v>
      </c>
      <c r="C1644" s="15" t="s">
        <v>1188</v>
      </c>
      <c r="D1644" s="13" t="s">
        <v>44</v>
      </c>
      <c r="E1644" s="14" t="s">
        <v>1189</v>
      </c>
      <c r="F1644" s="20">
        <f>DATE(2025,8,28)</f>
        <v>45897</v>
      </c>
      <c r="G1644" s="13">
        <v>2025</v>
      </c>
      <c r="H1644" s="13">
        <v>1</v>
      </c>
      <c r="I1644" s="15" t="s">
        <v>104</v>
      </c>
      <c r="J1644" s="13" t="s">
        <v>1190</v>
      </c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1"/>
    </row>
    <row r="1645" spans="1:35" s="13" customFormat="1" ht="12" customHeight="1" x14ac:dyDescent="0.25">
      <c r="A1645" s="9">
        <v>1643</v>
      </c>
      <c r="B1645" s="14" t="s">
        <v>3804</v>
      </c>
      <c r="C1645" s="14" t="s">
        <v>3805</v>
      </c>
      <c r="D1645" s="13" t="s">
        <v>23</v>
      </c>
      <c r="E1645" s="15" t="str">
        <f>B1645</f>
        <v>Vardenafil</v>
      </c>
      <c r="F1645" s="20">
        <f>DATE(2017,8,3)</f>
        <v>42950</v>
      </c>
      <c r="G1645" s="13">
        <v>2003</v>
      </c>
      <c r="H1645" s="13">
        <v>1</v>
      </c>
      <c r="I1645" s="15" t="s">
        <v>151</v>
      </c>
      <c r="J1645" s="15" t="s">
        <v>414</v>
      </c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</row>
    <row r="1646" spans="1:35" s="13" customFormat="1" ht="12" customHeight="1" x14ac:dyDescent="0.25">
      <c r="A1646" s="9">
        <v>1644</v>
      </c>
      <c r="B1646" s="14" t="s">
        <v>3806</v>
      </c>
      <c r="C1646" s="14" t="s">
        <v>3807</v>
      </c>
      <c r="D1646" s="13" t="s">
        <v>14</v>
      </c>
      <c r="E1646" s="15" t="str">
        <f>B1646</f>
        <v>Varenicline</v>
      </c>
      <c r="F1646" s="20">
        <f>DATE(2020,7,27)</f>
        <v>44039</v>
      </c>
      <c r="G1646" s="13">
        <v>2006</v>
      </c>
      <c r="H1646" s="13">
        <v>1</v>
      </c>
      <c r="I1646" s="15" t="s">
        <v>40</v>
      </c>
      <c r="J1646" s="15" t="s">
        <v>2563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</row>
    <row r="1647" spans="1:35" s="13" customFormat="1" ht="12" customHeight="1" x14ac:dyDescent="0.25">
      <c r="A1647" s="9">
        <v>1645</v>
      </c>
      <c r="B1647" s="14" t="s">
        <v>3808</v>
      </c>
      <c r="C1647" s="14" t="s">
        <v>3809</v>
      </c>
      <c r="D1647" s="13" t="s">
        <v>36</v>
      </c>
      <c r="E1647" s="15" t="str">
        <f>B1647</f>
        <v>Vedolizumab</v>
      </c>
      <c r="F1647" s="20">
        <f>DATE(2020,7,22)</f>
        <v>44034</v>
      </c>
      <c r="G1647" s="13">
        <v>2014</v>
      </c>
      <c r="H1647" s="13">
        <v>1</v>
      </c>
      <c r="I1647" s="15" t="s">
        <v>182</v>
      </c>
      <c r="J1647" s="15" t="s">
        <v>461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</row>
    <row r="1648" spans="1:35" s="13" customFormat="1" ht="12" customHeight="1" x14ac:dyDescent="0.25">
      <c r="A1648" s="9">
        <v>1646</v>
      </c>
      <c r="B1648" s="15" t="s">
        <v>3810</v>
      </c>
      <c r="C1648" s="15" t="s">
        <v>3811</v>
      </c>
      <c r="D1648" s="13" t="s">
        <v>31</v>
      </c>
      <c r="E1648" s="15" t="s">
        <v>1801</v>
      </c>
      <c r="F1648" s="20">
        <f>DATE(2018,3,5)</f>
        <v>43164</v>
      </c>
      <c r="G1648" s="13">
        <v>2010</v>
      </c>
      <c r="H1648" s="13">
        <v>1</v>
      </c>
      <c r="I1648" s="15" t="s">
        <v>104</v>
      </c>
      <c r="J1648" s="15" t="s">
        <v>155</v>
      </c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</row>
    <row r="1649" spans="1:35" s="13" customFormat="1" ht="12" customHeight="1" x14ac:dyDescent="0.25">
      <c r="A1649" s="9">
        <v>1647</v>
      </c>
      <c r="B1649" s="14" t="s">
        <v>3812</v>
      </c>
      <c r="C1649" s="14" t="s">
        <v>3813</v>
      </c>
      <c r="D1649" s="13" t="s">
        <v>166</v>
      </c>
      <c r="E1649" s="15" t="s">
        <v>2073</v>
      </c>
      <c r="F1649" s="20">
        <f>DATE(2022,2,3)</f>
        <v>44595</v>
      </c>
      <c r="G1649" s="13">
        <v>2016</v>
      </c>
      <c r="H1649" s="13">
        <v>1</v>
      </c>
      <c r="I1649" s="15" t="s">
        <v>15</v>
      </c>
      <c r="J1649" s="15" t="s">
        <v>366</v>
      </c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</row>
    <row r="1650" spans="1:35" s="13" customFormat="1" ht="12" customHeight="1" x14ac:dyDescent="0.25">
      <c r="A1650" s="9">
        <v>1648</v>
      </c>
      <c r="B1650" s="14" t="s">
        <v>3814</v>
      </c>
      <c r="C1650" s="14" t="s">
        <v>3815</v>
      </c>
      <c r="D1650" s="13" t="s">
        <v>23</v>
      </c>
      <c r="E1650" s="15" t="str">
        <f>B1650</f>
        <v>Vemurafenib</v>
      </c>
      <c r="F1650" s="20">
        <f>DATE(2018,6,28)</f>
        <v>43279</v>
      </c>
      <c r="G1650" s="13">
        <v>2011</v>
      </c>
      <c r="H1650" s="13">
        <v>1</v>
      </c>
      <c r="I1650" s="15" t="s">
        <v>24</v>
      </c>
      <c r="J1650" s="15" t="s">
        <v>570</v>
      </c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</row>
    <row r="1651" spans="1:35" s="13" customFormat="1" ht="12" customHeight="1" x14ac:dyDescent="0.25">
      <c r="A1651" s="9">
        <v>1649</v>
      </c>
      <c r="B1651" s="14" t="s">
        <v>3816</v>
      </c>
      <c r="C1651" s="14" t="s">
        <v>3817</v>
      </c>
      <c r="D1651" s="13" t="s">
        <v>31</v>
      </c>
      <c r="E1651" s="15" t="str">
        <f>B1651</f>
        <v>Venetoclax</v>
      </c>
      <c r="F1651" s="20">
        <f>DATE(2017,4,3)</f>
        <v>42828</v>
      </c>
      <c r="G1651" s="13">
        <v>2016</v>
      </c>
      <c r="H1651" s="13">
        <v>1</v>
      </c>
      <c r="I1651" s="15" t="s">
        <v>24</v>
      </c>
      <c r="J1651" s="15" t="s">
        <v>596</v>
      </c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</row>
    <row r="1652" spans="1:35" s="13" customFormat="1" ht="12" customHeight="1" x14ac:dyDescent="0.25">
      <c r="A1652" s="9">
        <v>1650</v>
      </c>
      <c r="B1652" s="14" t="s">
        <v>3818</v>
      </c>
      <c r="C1652" s="14" t="s">
        <v>3819</v>
      </c>
      <c r="D1652" s="13" t="s">
        <v>44</v>
      </c>
      <c r="E1652" s="15" t="str">
        <f>B1652</f>
        <v>Venlafaxine</v>
      </c>
      <c r="F1652" s="20">
        <f>DATE(2020,3,6)</f>
        <v>43896</v>
      </c>
      <c r="G1652" s="13">
        <v>1965</v>
      </c>
      <c r="H1652" s="13">
        <v>1</v>
      </c>
      <c r="I1652" s="15" t="s">
        <v>100</v>
      </c>
      <c r="J1652" s="15" t="s">
        <v>250</v>
      </c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</row>
    <row r="1653" spans="1:35" s="13" customFormat="1" ht="12" customHeight="1" x14ac:dyDescent="0.25">
      <c r="A1653" s="9">
        <v>1651</v>
      </c>
      <c r="B1653" s="14" t="s">
        <v>3820</v>
      </c>
      <c r="C1653" s="14" t="s">
        <v>3821</v>
      </c>
      <c r="D1653" s="13" t="s">
        <v>44</v>
      </c>
      <c r="E1653" s="15" t="str">
        <f>B1653</f>
        <v>Verapamil</v>
      </c>
      <c r="F1653" s="20">
        <f>DATE(2017,1,10)</f>
        <v>42745</v>
      </c>
      <c r="G1653" s="13">
        <v>1981</v>
      </c>
      <c r="H1653" s="13">
        <v>1</v>
      </c>
      <c r="I1653" s="15" t="s">
        <v>49</v>
      </c>
      <c r="J1653" s="15" t="s">
        <v>50</v>
      </c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</row>
    <row r="1654" spans="1:35" s="21" customFormat="1" ht="12" customHeight="1" x14ac:dyDescent="0.25">
      <c r="A1654" s="9">
        <v>1652</v>
      </c>
      <c r="B1654" s="14" t="s">
        <v>3822</v>
      </c>
      <c r="C1654" s="14" t="s">
        <v>3823</v>
      </c>
      <c r="D1654" s="13" t="s">
        <v>31</v>
      </c>
      <c r="E1654" s="15" t="s">
        <v>3822</v>
      </c>
      <c r="F1654" s="20">
        <f>DATE(2023,6,14)</f>
        <v>45091</v>
      </c>
      <c r="G1654" s="16">
        <v>2021</v>
      </c>
      <c r="H1654" s="13">
        <v>1</v>
      </c>
      <c r="I1654" s="15" t="s">
        <v>49</v>
      </c>
      <c r="J1654" s="15" t="s">
        <v>3210</v>
      </c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</row>
    <row r="1655" spans="1:35" s="21" customFormat="1" ht="12" customHeight="1" x14ac:dyDescent="0.25">
      <c r="A1655" s="9">
        <v>1653</v>
      </c>
      <c r="B1655" s="14" t="s">
        <v>3824</v>
      </c>
      <c r="C1655" s="14" t="s">
        <v>3825</v>
      </c>
      <c r="D1655" s="13" t="s">
        <v>77</v>
      </c>
      <c r="E1655" s="15"/>
      <c r="F1655" s="20"/>
      <c r="G1655" s="13">
        <v>2017</v>
      </c>
      <c r="H1655" s="13">
        <v>0</v>
      </c>
      <c r="I1655" s="15" t="s">
        <v>104</v>
      </c>
      <c r="J1655" s="15" t="s">
        <v>3826</v>
      </c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</row>
    <row r="1656" spans="1:35" s="21" customFormat="1" ht="12" customHeight="1" x14ac:dyDescent="0.25">
      <c r="A1656" s="9">
        <v>1654</v>
      </c>
      <c r="B1656" s="14" t="s">
        <v>3827</v>
      </c>
      <c r="C1656" s="14" t="s">
        <v>3828</v>
      </c>
      <c r="D1656" s="13" t="s">
        <v>31</v>
      </c>
      <c r="E1656" s="15" t="s">
        <v>3827</v>
      </c>
      <c r="F1656" s="20">
        <f>DATE(2023,7,15)</f>
        <v>45122</v>
      </c>
      <c r="G1656" s="16">
        <v>2020</v>
      </c>
      <c r="H1656" s="13">
        <v>1</v>
      </c>
      <c r="I1656" s="15" t="s">
        <v>151</v>
      </c>
      <c r="J1656" s="15" t="s">
        <v>3829</v>
      </c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</row>
    <row r="1657" spans="1:35" s="21" customFormat="1" ht="12" customHeight="1" x14ac:dyDescent="0.25">
      <c r="A1657" s="9">
        <v>1655</v>
      </c>
      <c r="B1657" s="14" t="s">
        <v>3830</v>
      </c>
      <c r="C1657" s="14" t="s">
        <v>3831</v>
      </c>
      <c r="D1657" s="13" t="s">
        <v>36</v>
      </c>
      <c r="E1657" s="15" t="str">
        <f>B1657</f>
        <v>Vigabatrin</v>
      </c>
      <c r="F1657" s="20">
        <f>DATE(2020,8,12)</f>
        <v>44055</v>
      </c>
      <c r="G1657" s="13">
        <v>2009</v>
      </c>
      <c r="H1657" s="13">
        <v>1</v>
      </c>
      <c r="I1657" s="15" t="s">
        <v>100</v>
      </c>
      <c r="J1657" s="15" t="s">
        <v>630</v>
      </c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</row>
    <row r="1658" spans="1:35" s="21" customFormat="1" ht="12" customHeight="1" x14ac:dyDescent="0.25">
      <c r="A1658" s="9">
        <v>1656</v>
      </c>
      <c r="B1658" s="14" t="s">
        <v>3832</v>
      </c>
      <c r="C1658" s="14" t="s">
        <v>3833</v>
      </c>
      <c r="D1658" s="13" t="s">
        <v>23</v>
      </c>
      <c r="E1658" s="15" t="str">
        <f>B1658</f>
        <v>Vilazodone</v>
      </c>
      <c r="F1658" s="20">
        <f>DATE(2020,4,8)</f>
        <v>43929</v>
      </c>
      <c r="G1658" s="13">
        <v>2011</v>
      </c>
      <c r="H1658" s="13">
        <v>1</v>
      </c>
      <c r="I1658" s="15" t="s">
        <v>100</v>
      </c>
      <c r="J1658" s="15" t="s">
        <v>250</v>
      </c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</row>
    <row r="1659" spans="1:35" s="21" customFormat="1" ht="12" customHeight="1" x14ac:dyDescent="0.25">
      <c r="A1659" s="9">
        <v>1657</v>
      </c>
      <c r="B1659" s="14" t="s">
        <v>3834</v>
      </c>
      <c r="C1659" s="14" t="s">
        <v>3835</v>
      </c>
      <c r="D1659" s="13" t="s">
        <v>31</v>
      </c>
      <c r="E1659" s="15" t="s">
        <v>3834</v>
      </c>
      <c r="F1659" s="20">
        <f>DATE(2022,12,1)</f>
        <v>44896</v>
      </c>
      <c r="G1659" s="16">
        <v>2020</v>
      </c>
      <c r="H1659" s="13">
        <v>1</v>
      </c>
      <c r="I1659" s="15" t="s">
        <v>104</v>
      </c>
      <c r="J1659" s="15" t="s">
        <v>3836</v>
      </c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</row>
    <row r="1660" spans="1:35" s="21" customFormat="1" ht="12" customHeight="1" x14ac:dyDescent="0.25">
      <c r="A1660" s="9">
        <v>1658</v>
      </c>
      <c r="B1660" s="15" t="s">
        <v>3837</v>
      </c>
      <c r="C1660" s="14" t="s">
        <v>3838</v>
      </c>
      <c r="D1660" s="13" t="s">
        <v>23</v>
      </c>
      <c r="E1660" s="15" t="s">
        <v>3837</v>
      </c>
      <c r="F1660" s="20">
        <f>DATE(2025,4,20)</f>
        <v>45767</v>
      </c>
      <c r="G1660" s="13">
        <v>2025</v>
      </c>
      <c r="H1660" s="13">
        <v>0</v>
      </c>
      <c r="I1660" s="15" t="s">
        <v>3839</v>
      </c>
      <c r="J1660" s="15" t="s">
        <v>2866</v>
      </c>
      <c r="K1660" s="13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</row>
    <row r="1661" spans="1:35" s="21" customFormat="1" ht="12" customHeight="1" x14ac:dyDescent="0.3">
      <c r="A1661" s="9">
        <v>1659</v>
      </c>
      <c r="B1661" s="14" t="s">
        <v>3837</v>
      </c>
      <c r="C1661" s="14" t="s">
        <v>3838</v>
      </c>
      <c r="D1661" s="13" t="s">
        <v>77</v>
      </c>
      <c r="E1661" s="14" t="s">
        <v>3837</v>
      </c>
      <c r="F1661" s="13"/>
      <c r="G1661" s="13">
        <v>2025</v>
      </c>
      <c r="H1661" s="16">
        <v>0</v>
      </c>
      <c r="I1661" s="14" t="s">
        <v>24</v>
      </c>
      <c r="J1661" s="14" t="s">
        <v>3840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</row>
    <row r="1662" spans="1:35" s="21" customFormat="1" ht="12" customHeight="1" x14ac:dyDescent="0.25">
      <c r="A1662" s="9">
        <v>1660</v>
      </c>
      <c r="B1662" s="14" t="s">
        <v>3841</v>
      </c>
      <c r="C1662" s="14" t="s">
        <v>3842</v>
      </c>
      <c r="D1662" s="13" t="s">
        <v>23</v>
      </c>
      <c r="E1662" s="15" t="s">
        <v>3843</v>
      </c>
      <c r="F1662" s="20">
        <f>DATE(2020,9,20)</f>
        <v>44094</v>
      </c>
      <c r="G1662" s="13">
        <v>1965</v>
      </c>
      <c r="H1662" s="13">
        <v>1</v>
      </c>
      <c r="I1662" s="15" t="s">
        <v>24</v>
      </c>
      <c r="J1662" s="15" t="s">
        <v>132</v>
      </c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</row>
    <row r="1663" spans="1:35" s="21" customFormat="1" ht="12" customHeight="1" x14ac:dyDescent="0.25">
      <c r="A1663" s="9">
        <v>1661</v>
      </c>
      <c r="B1663" s="14" t="s">
        <v>3844</v>
      </c>
      <c r="C1663" s="14" t="s">
        <v>3845</v>
      </c>
      <c r="D1663" s="13" t="s">
        <v>14</v>
      </c>
      <c r="E1663" s="15" t="s">
        <v>3843</v>
      </c>
      <c r="F1663" s="20">
        <f>DATE(2020,9,20)</f>
        <v>44094</v>
      </c>
      <c r="G1663" s="13">
        <v>1963</v>
      </c>
      <c r="H1663" s="13">
        <v>1</v>
      </c>
      <c r="I1663" s="15" t="s">
        <v>24</v>
      </c>
      <c r="J1663" s="15" t="s">
        <v>132</v>
      </c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</row>
    <row r="1664" spans="1:35" s="21" customFormat="1" ht="12" customHeight="1" x14ac:dyDescent="0.25">
      <c r="A1664" s="9">
        <v>1662</v>
      </c>
      <c r="B1664" s="14" t="s">
        <v>3846</v>
      </c>
      <c r="C1664" s="14" t="s">
        <v>3847</v>
      </c>
      <c r="D1664" s="13" t="s">
        <v>23</v>
      </c>
      <c r="E1664" s="15" t="s">
        <v>3843</v>
      </c>
      <c r="F1664" s="20">
        <f>DATE(2020,9,20)</f>
        <v>44094</v>
      </c>
      <c r="G1664" s="13">
        <v>1994</v>
      </c>
      <c r="H1664" s="13">
        <v>1</v>
      </c>
      <c r="I1664" s="15" t="s">
        <v>24</v>
      </c>
      <c r="J1664" s="15" t="s">
        <v>132</v>
      </c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</row>
    <row r="1665" spans="1:35" s="21" customFormat="1" ht="12" customHeight="1" x14ac:dyDescent="0.25">
      <c r="A1665" s="9">
        <v>1663</v>
      </c>
      <c r="B1665" s="14" t="s">
        <v>3848</v>
      </c>
      <c r="C1665" s="14" t="s">
        <v>3849</v>
      </c>
      <c r="D1665" s="13" t="s">
        <v>44</v>
      </c>
      <c r="E1665" s="15" t="str">
        <f t="shared" ref="E1665:E1671" si="38">B1665</f>
        <v>Vismodegib</v>
      </c>
      <c r="F1665" s="20">
        <f>DATE(2025,1,5)</f>
        <v>45662</v>
      </c>
      <c r="G1665" s="13">
        <v>2012</v>
      </c>
      <c r="H1665" s="13">
        <v>1</v>
      </c>
      <c r="I1665" s="15" t="s">
        <v>24</v>
      </c>
      <c r="J1665" s="15" t="s">
        <v>3342</v>
      </c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</row>
    <row r="1666" spans="1:35" s="21" customFormat="1" ht="12" customHeight="1" x14ac:dyDescent="0.25">
      <c r="A1666" s="9">
        <v>1664</v>
      </c>
      <c r="B1666" s="14" t="s">
        <v>530</v>
      </c>
      <c r="C1666" s="14" t="s">
        <v>188</v>
      </c>
      <c r="D1666" s="13" t="s">
        <v>53</v>
      </c>
      <c r="E1666" s="15" t="str">
        <f t="shared" si="38"/>
        <v>Vitamin A</v>
      </c>
      <c r="F1666" s="20">
        <f>DATE(2020,11,8)</f>
        <v>44143</v>
      </c>
      <c r="G1666" s="13" t="s">
        <v>174</v>
      </c>
      <c r="H1666" s="13">
        <v>1</v>
      </c>
      <c r="I1666" s="15" t="s">
        <v>190</v>
      </c>
      <c r="J1666" s="15" t="s">
        <v>198</v>
      </c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</row>
    <row r="1667" spans="1:35" s="21" customFormat="1" ht="12" customHeight="1" x14ac:dyDescent="0.25">
      <c r="A1667" s="9">
        <v>1665</v>
      </c>
      <c r="B1667" s="14" t="s">
        <v>573</v>
      </c>
      <c r="C1667" s="14" t="s">
        <v>188</v>
      </c>
      <c r="D1667" s="13" t="s">
        <v>31</v>
      </c>
      <c r="E1667" s="15" t="str">
        <f t="shared" si="38"/>
        <v>Vitamin B</v>
      </c>
      <c r="F1667" s="20">
        <f>DATE(2021,1,15)</f>
        <v>44211</v>
      </c>
      <c r="G1667" s="13" t="s">
        <v>174</v>
      </c>
      <c r="H1667" s="13">
        <v>1</v>
      </c>
      <c r="I1667" s="15" t="s">
        <v>190</v>
      </c>
      <c r="J1667" s="15" t="s">
        <v>198</v>
      </c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</row>
    <row r="1668" spans="1:35" s="21" customFormat="1" ht="12" customHeight="1" x14ac:dyDescent="0.25">
      <c r="A1668" s="9">
        <v>1666</v>
      </c>
      <c r="B1668" s="14" t="s">
        <v>350</v>
      </c>
      <c r="C1668" s="14" t="s">
        <v>188</v>
      </c>
      <c r="D1668" s="13" t="s">
        <v>31</v>
      </c>
      <c r="E1668" s="15" t="str">
        <f t="shared" si="38"/>
        <v>Vitamin C</v>
      </c>
      <c r="F1668" s="20">
        <f>DATE(2021,1,15)</f>
        <v>44211</v>
      </c>
      <c r="G1668" s="13" t="s">
        <v>174</v>
      </c>
      <c r="H1668" s="13">
        <v>1</v>
      </c>
      <c r="I1668" s="15" t="s">
        <v>190</v>
      </c>
      <c r="J1668" s="15" t="s">
        <v>198</v>
      </c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</row>
    <row r="1669" spans="1:35" s="21" customFormat="1" ht="12" customHeight="1" x14ac:dyDescent="0.25">
      <c r="A1669" s="9">
        <v>1667</v>
      </c>
      <c r="B1669" s="14" t="s">
        <v>698</v>
      </c>
      <c r="C1669" s="14" t="s">
        <v>3850</v>
      </c>
      <c r="D1669" s="13" t="s">
        <v>31</v>
      </c>
      <c r="E1669" s="15" t="str">
        <f t="shared" si="38"/>
        <v>Vitamin D</v>
      </c>
      <c r="F1669" s="20">
        <f>DATE(2021,1,15)</f>
        <v>44211</v>
      </c>
      <c r="G1669" s="13" t="s">
        <v>174</v>
      </c>
      <c r="H1669" s="13">
        <v>1</v>
      </c>
      <c r="I1669" s="15" t="s">
        <v>190</v>
      </c>
      <c r="J1669" s="15" t="s">
        <v>198</v>
      </c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</row>
    <row r="1670" spans="1:35" s="17" customFormat="1" ht="12" customHeight="1" x14ac:dyDescent="0.3">
      <c r="A1670" s="9">
        <v>1668</v>
      </c>
      <c r="B1670" s="14" t="s">
        <v>197</v>
      </c>
      <c r="C1670" s="14" t="s">
        <v>3851</v>
      </c>
      <c r="D1670" s="13" t="s">
        <v>31</v>
      </c>
      <c r="E1670" s="15" t="str">
        <f t="shared" si="38"/>
        <v>Vitamin E</v>
      </c>
      <c r="F1670" s="20">
        <f>DATE(2025,4,1)</f>
        <v>45748</v>
      </c>
      <c r="G1670" s="13" t="s">
        <v>174</v>
      </c>
      <c r="H1670" s="13">
        <v>1</v>
      </c>
      <c r="I1670" s="15" t="s">
        <v>190</v>
      </c>
      <c r="J1670" s="15" t="s">
        <v>198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</row>
    <row r="1671" spans="1:35" s="17" customFormat="1" ht="12" customHeight="1" x14ac:dyDescent="0.3">
      <c r="A1671" s="9">
        <v>1669</v>
      </c>
      <c r="B1671" s="14" t="s">
        <v>2299</v>
      </c>
      <c r="C1671" s="14" t="s">
        <v>3852</v>
      </c>
      <c r="D1671" s="13" t="s">
        <v>31</v>
      </c>
      <c r="E1671" s="15" t="str">
        <f t="shared" si="38"/>
        <v>Vitamin K</v>
      </c>
      <c r="F1671" s="20">
        <f>DATE(2021,1,15)</f>
        <v>44211</v>
      </c>
      <c r="G1671" s="13" t="s">
        <v>174</v>
      </c>
      <c r="H1671" s="13">
        <v>1</v>
      </c>
      <c r="I1671" s="15" t="s">
        <v>190</v>
      </c>
      <c r="J1671" s="15" t="s">
        <v>198</v>
      </c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</row>
    <row r="1672" spans="1:35" s="17" customFormat="1" ht="12" customHeight="1" x14ac:dyDescent="0.3">
      <c r="A1672" s="9">
        <v>1670</v>
      </c>
      <c r="B1672" s="14" t="s">
        <v>3853</v>
      </c>
      <c r="C1672" s="14" t="s">
        <v>3854</v>
      </c>
      <c r="D1672" s="13" t="s">
        <v>77</v>
      </c>
      <c r="E1672" s="14" t="s">
        <v>3853</v>
      </c>
      <c r="F1672" s="13"/>
      <c r="G1672" s="13">
        <v>2022</v>
      </c>
      <c r="H1672" s="13">
        <v>0</v>
      </c>
      <c r="I1672" s="15" t="s">
        <v>15</v>
      </c>
      <c r="J1672" s="15" t="s">
        <v>3855</v>
      </c>
      <c r="K1672" s="13"/>
      <c r="L1672" s="13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</row>
    <row r="1673" spans="1:35" s="17" customFormat="1" ht="12" customHeight="1" x14ac:dyDescent="0.3">
      <c r="A1673" s="9">
        <v>1671</v>
      </c>
      <c r="B1673" s="14" t="s">
        <v>3856</v>
      </c>
      <c r="C1673" s="14" t="s">
        <v>3857</v>
      </c>
      <c r="D1673" s="13" t="s">
        <v>31</v>
      </c>
      <c r="E1673" s="15" t="str">
        <f>B1673</f>
        <v>Vorapaxar</v>
      </c>
      <c r="F1673" s="20">
        <f>DATE(2017,4,3)</f>
        <v>42828</v>
      </c>
      <c r="G1673" s="13">
        <v>2014</v>
      </c>
      <c r="H1673" s="13">
        <v>1</v>
      </c>
      <c r="I1673" s="15" t="s">
        <v>230</v>
      </c>
      <c r="J1673" s="15" t="s">
        <v>709</v>
      </c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</row>
    <row r="1674" spans="1:35" s="17" customFormat="1" ht="12" customHeight="1" x14ac:dyDescent="0.3">
      <c r="A1674" s="9">
        <v>1672</v>
      </c>
      <c r="B1674" s="14" t="s">
        <v>3858</v>
      </c>
      <c r="C1674" s="14" t="s">
        <v>3859</v>
      </c>
      <c r="D1674" s="13" t="s">
        <v>23</v>
      </c>
      <c r="E1674" s="14" t="s">
        <v>3858</v>
      </c>
      <c r="F1674" s="20">
        <f>DATE(2025,4,16)</f>
        <v>45763</v>
      </c>
      <c r="G1674" s="13">
        <v>2024</v>
      </c>
      <c r="H1674" s="13">
        <v>0</v>
      </c>
      <c r="I1674" s="14" t="s">
        <v>24</v>
      </c>
      <c r="J1674" s="14" t="s">
        <v>3860</v>
      </c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</row>
    <row r="1675" spans="1:35" s="17" customFormat="1" ht="12" customHeight="1" x14ac:dyDescent="0.3">
      <c r="A1675" s="9">
        <v>1673</v>
      </c>
      <c r="B1675" s="14" t="s">
        <v>3861</v>
      </c>
      <c r="C1675" s="14" t="s">
        <v>3862</v>
      </c>
      <c r="D1675" s="13" t="s">
        <v>44</v>
      </c>
      <c r="E1675" s="15" t="str">
        <f>B1675</f>
        <v>Voriconazole</v>
      </c>
      <c r="F1675" s="20">
        <f>DATE(2017,5,18)</f>
        <v>42873</v>
      </c>
      <c r="G1675" s="13">
        <v>2002</v>
      </c>
      <c r="H1675" s="13">
        <v>1</v>
      </c>
      <c r="I1675" s="15" t="s">
        <v>15</v>
      </c>
      <c r="J1675" s="15" t="s">
        <v>271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</row>
    <row r="1676" spans="1:35" s="17" customFormat="1" ht="12" customHeight="1" x14ac:dyDescent="0.3">
      <c r="A1676" s="9">
        <v>1674</v>
      </c>
      <c r="B1676" s="14" t="s">
        <v>3863</v>
      </c>
      <c r="C1676" s="14" t="s">
        <v>3864</v>
      </c>
      <c r="D1676" s="13" t="s">
        <v>31</v>
      </c>
      <c r="E1676" s="15" t="str">
        <f>B1676</f>
        <v>Vorinostat</v>
      </c>
      <c r="F1676" s="20">
        <f>DATE(2020,9,12)</f>
        <v>44086</v>
      </c>
      <c r="G1676" s="13">
        <v>2006</v>
      </c>
      <c r="H1676" s="13">
        <v>1</v>
      </c>
      <c r="I1676" s="15" t="s">
        <v>24</v>
      </c>
      <c r="J1676" s="15" t="s">
        <v>487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</row>
    <row r="1677" spans="1:35" s="17" customFormat="1" ht="12" customHeight="1" x14ac:dyDescent="0.3">
      <c r="A1677" s="9">
        <v>1675</v>
      </c>
      <c r="B1677" s="14" t="s">
        <v>3865</v>
      </c>
      <c r="C1677" s="14" t="s">
        <v>3866</v>
      </c>
      <c r="D1677" s="13" t="s">
        <v>23</v>
      </c>
      <c r="E1677" s="15" t="str">
        <f>B1677</f>
        <v>Vortioxetine</v>
      </c>
      <c r="F1677" s="20">
        <f>DATE(2020,4,8)</f>
        <v>43929</v>
      </c>
      <c r="G1677" s="13">
        <v>2013</v>
      </c>
      <c r="H1677" s="13">
        <v>1</v>
      </c>
      <c r="I1677" s="15" t="s">
        <v>100</v>
      </c>
      <c r="J1677" s="15" t="s">
        <v>250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</row>
    <row r="1678" spans="1:35" s="17" customFormat="1" ht="12" customHeight="1" x14ac:dyDescent="0.3">
      <c r="A1678" s="9">
        <v>1676</v>
      </c>
      <c r="B1678" s="15" t="s">
        <v>3867</v>
      </c>
      <c r="C1678" s="15" t="s">
        <v>3868</v>
      </c>
      <c r="D1678" s="13" t="s">
        <v>44</v>
      </c>
      <c r="E1678" s="14" t="s">
        <v>287</v>
      </c>
      <c r="F1678" s="20">
        <f>DATE(2025,9,20)</f>
        <v>45920</v>
      </c>
      <c r="G1678" s="13" t="s">
        <v>174</v>
      </c>
      <c r="H1678" s="13">
        <v>1</v>
      </c>
      <c r="I1678" s="15" t="s">
        <v>45</v>
      </c>
      <c r="J1678" s="13" t="s">
        <v>288</v>
      </c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21"/>
      <c r="AF1678" s="21"/>
      <c r="AG1678" s="21"/>
      <c r="AH1678" s="21"/>
      <c r="AI1678" s="21"/>
    </row>
    <row r="1679" spans="1:35" s="17" customFormat="1" ht="12" customHeight="1" x14ac:dyDescent="0.3">
      <c r="A1679" s="9">
        <v>1677</v>
      </c>
      <c r="B1679" s="14" t="s">
        <v>3869</v>
      </c>
      <c r="C1679" s="14" t="s">
        <v>3870</v>
      </c>
      <c r="D1679" s="13" t="s">
        <v>31</v>
      </c>
      <c r="E1679" s="15" t="s">
        <v>3869</v>
      </c>
      <c r="F1679" s="20">
        <f>DATE(2025,1,30)</f>
        <v>45687</v>
      </c>
      <c r="G1679" s="16">
        <v>2021</v>
      </c>
      <c r="H1679" s="13">
        <v>1</v>
      </c>
      <c r="I1679" s="15" t="s">
        <v>104</v>
      </c>
      <c r="J1679" s="15" t="s">
        <v>3871</v>
      </c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</row>
    <row r="1680" spans="1:35" s="17" customFormat="1" ht="12" customHeight="1" x14ac:dyDescent="0.3">
      <c r="A1680" s="9">
        <v>1678</v>
      </c>
      <c r="B1680" s="14" t="s">
        <v>3872</v>
      </c>
      <c r="C1680" s="14" t="s">
        <v>3873</v>
      </c>
      <c r="D1680" s="13" t="s">
        <v>23</v>
      </c>
      <c r="E1680" s="15" t="str">
        <f>B1680</f>
        <v>Voxelotor</v>
      </c>
      <c r="F1680" s="20">
        <f>DATE(2021,7,12)</f>
        <v>44389</v>
      </c>
      <c r="G1680" s="13">
        <v>2019</v>
      </c>
      <c r="H1680" s="13">
        <v>1</v>
      </c>
      <c r="I1680" s="15" t="s">
        <v>230</v>
      </c>
      <c r="J1680" s="15" t="s">
        <v>1026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</row>
    <row r="1681" spans="1:35" s="17" customFormat="1" ht="12" customHeight="1" x14ac:dyDescent="0.3">
      <c r="A1681" s="9">
        <v>1679</v>
      </c>
      <c r="B1681" s="14" t="s">
        <v>3874</v>
      </c>
      <c r="C1681" s="14" t="s">
        <v>3875</v>
      </c>
      <c r="D1681" s="13" t="s">
        <v>166</v>
      </c>
      <c r="E1681" s="15" t="s">
        <v>2073</v>
      </c>
      <c r="F1681" s="20">
        <f>DATE(2022,2,3)</f>
        <v>44595</v>
      </c>
      <c r="G1681" s="13">
        <v>2017</v>
      </c>
      <c r="H1681" s="13">
        <v>1</v>
      </c>
      <c r="I1681" s="15" t="s">
        <v>15</v>
      </c>
      <c r="J1681" s="15" t="s">
        <v>366</v>
      </c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</row>
    <row r="1682" spans="1:35" s="17" customFormat="1" ht="12" customHeight="1" x14ac:dyDescent="0.3">
      <c r="A1682" s="9">
        <v>1680</v>
      </c>
      <c r="B1682" s="14" t="s">
        <v>3876</v>
      </c>
      <c r="C1682" s="14" t="s">
        <v>3877</v>
      </c>
      <c r="D1682" s="13" t="s">
        <v>31</v>
      </c>
      <c r="E1682" s="15" t="s">
        <v>3876</v>
      </c>
      <c r="F1682" s="20">
        <f>DATE(2025,2,25)</f>
        <v>45713</v>
      </c>
      <c r="G1682" s="13">
        <v>2022</v>
      </c>
      <c r="H1682" s="13">
        <v>1</v>
      </c>
      <c r="I1682" s="15" t="s">
        <v>104</v>
      </c>
      <c r="J1682" s="15" t="s">
        <v>1469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</row>
    <row r="1683" spans="1:35" s="17" customFormat="1" ht="12" customHeight="1" x14ac:dyDescent="0.3">
      <c r="A1683" s="9">
        <v>1681</v>
      </c>
      <c r="B1683" s="14" t="s">
        <v>3878</v>
      </c>
      <c r="C1683" s="14" t="s">
        <v>3879</v>
      </c>
      <c r="D1683" s="13" t="s">
        <v>14</v>
      </c>
      <c r="E1683" s="15" t="str">
        <f>B1683</f>
        <v>Warfarin</v>
      </c>
      <c r="F1683" s="20">
        <f>DATE(2020,10,30)</f>
        <v>44134</v>
      </c>
      <c r="G1683" s="13">
        <v>1967</v>
      </c>
      <c r="H1683" s="13">
        <v>1</v>
      </c>
      <c r="I1683" s="15" t="s">
        <v>230</v>
      </c>
      <c r="J1683" s="15" t="s">
        <v>308</v>
      </c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</row>
    <row r="1684" spans="1:35" s="17" customFormat="1" ht="12" customHeight="1" x14ac:dyDescent="0.3">
      <c r="A1684" s="9">
        <v>1682</v>
      </c>
      <c r="B1684" s="15" t="s">
        <v>3880</v>
      </c>
      <c r="C1684" s="14" t="s">
        <v>3881</v>
      </c>
      <c r="D1684" s="13" t="s">
        <v>36</v>
      </c>
      <c r="E1684" s="15" t="s">
        <v>3880</v>
      </c>
      <c r="F1684" s="20">
        <f>DATE(2024,11,11)</f>
        <v>45607</v>
      </c>
      <c r="G1684" s="13" t="s">
        <v>174</v>
      </c>
      <c r="H1684" s="13">
        <v>1</v>
      </c>
      <c r="I1684" s="15" t="s">
        <v>100</v>
      </c>
      <c r="J1684" s="15" t="s">
        <v>268</v>
      </c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</row>
    <row r="1685" spans="1:35" s="17" customFormat="1" ht="12" customHeight="1" x14ac:dyDescent="0.3">
      <c r="A1685" s="9">
        <v>1683</v>
      </c>
      <c r="B1685" s="15" t="s">
        <v>3882</v>
      </c>
      <c r="C1685" s="15" t="s">
        <v>3882</v>
      </c>
      <c r="D1685" s="13" t="s">
        <v>14</v>
      </c>
      <c r="E1685" s="14" t="s">
        <v>287</v>
      </c>
      <c r="F1685" s="20">
        <f>DATE(2025,9,20)</f>
        <v>45920</v>
      </c>
      <c r="G1685" s="13" t="s">
        <v>174</v>
      </c>
      <c r="H1685" s="13">
        <v>1</v>
      </c>
      <c r="I1685" s="15" t="s">
        <v>45</v>
      </c>
      <c r="J1685" s="13" t="s">
        <v>288</v>
      </c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21"/>
    </row>
    <row r="1686" spans="1:35" s="17" customFormat="1" ht="12" customHeight="1" x14ac:dyDescent="0.3">
      <c r="A1686" s="9">
        <v>1684</v>
      </c>
      <c r="B1686" s="14" t="s">
        <v>3883</v>
      </c>
      <c r="C1686" s="14" t="s">
        <v>3884</v>
      </c>
      <c r="D1686" s="13" t="s">
        <v>31</v>
      </c>
      <c r="E1686" s="15" t="str">
        <f>B1686</f>
        <v>Yohimbe</v>
      </c>
      <c r="F1686" s="20">
        <f>DATE(2020,4,5)</f>
        <v>43926</v>
      </c>
      <c r="G1686" s="13" t="s">
        <v>174</v>
      </c>
      <c r="H1686" s="13">
        <v>1</v>
      </c>
      <c r="I1686" s="15" t="s">
        <v>175</v>
      </c>
      <c r="J1686" s="15" t="s">
        <v>414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</row>
    <row r="1687" spans="1:35" s="17" customFormat="1" ht="12" customHeight="1" x14ac:dyDescent="0.3">
      <c r="A1687" s="9">
        <v>1685</v>
      </c>
      <c r="B1687" s="14" t="s">
        <v>3885</v>
      </c>
      <c r="C1687" s="14" t="s">
        <v>3886</v>
      </c>
      <c r="D1687" s="13" t="s">
        <v>14</v>
      </c>
      <c r="E1687" s="15" t="str">
        <f>B1687</f>
        <v>Zafirlukast</v>
      </c>
      <c r="F1687" s="20">
        <f>DATE(2019,6,4)</f>
        <v>43620</v>
      </c>
      <c r="G1687" s="13">
        <v>1996</v>
      </c>
      <c r="H1687" s="13">
        <v>1</v>
      </c>
      <c r="I1687" s="15" t="s">
        <v>73</v>
      </c>
      <c r="J1687" s="15" t="s">
        <v>128</v>
      </c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</row>
    <row r="1688" spans="1:35" s="17" customFormat="1" ht="12" customHeight="1" x14ac:dyDescent="0.3">
      <c r="A1688" s="9">
        <v>1686</v>
      </c>
      <c r="B1688" s="14" t="s">
        <v>3887</v>
      </c>
      <c r="C1688" s="14" t="s">
        <v>3888</v>
      </c>
      <c r="D1688" s="13" t="s">
        <v>23</v>
      </c>
      <c r="E1688" s="15"/>
      <c r="F1688" s="20"/>
      <c r="G1688" s="13">
        <v>1992</v>
      </c>
      <c r="H1688" s="13">
        <v>0</v>
      </c>
      <c r="I1688" s="15" t="s">
        <v>15</v>
      </c>
      <c r="J1688" s="15" t="s">
        <v>16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</row>
    <row r="1689" spans="1:35" s="17" customFormat="1" ht="12" customHeight="1" x14ac:dyDescent="0.3">
      <c r="A1689" s="9">
        <v>1687</v>
      </c>
      <c r="B1689" s="14" t="s">
        <v>3889</v>
      </c>
      <c r="C1689" s="14" t="s">
        <v>3890</v>
      </c>
      <c r="D1689" s="13" t="s">
        <v>31</v>
      </c>
      <c r="E1689" s="15" t="str">
        <f>B1689</f>
        <v>Zaleplon</v>
      </c>
      <c r="F1689" s="20">
        <f>DATE(2018,2,20)</f>
        <v>43151</v>
      </c>
      <c r="G1689" s="13">
        <v>1999</v>
      </c>
      <c r="H1689" s="13">
        <v>1</v>
      </c>
      <c r="I1689" s="15" t="s">
        <v>100</v>
      </c>
      <c r="J1689" s="15" t="s">
        <v>204</v>
      </c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</row>
    <row r="1690" spans="1:35" s="17" customFormat="1" ht="12" customHeight="1" x14ac:dyDescent="0.3">
      <c r="A1690" s="9">
        <v>1688</v>
      </c>
      <c r="B1690" s="14" t="s">
        <v>3891</v>
      </c>
      <c r="C1690" s="14" t="s">
        <v>3892</v>
      </c>
      <c r="D1690" s="13" t="s">
        <v>31</v>
      </c>
      <c r="E1690" s="15" t="str">
        <f>B1690</f>
        <v>Zanamivir</v>
      </c>
      <c r="F1690" s="20">
        <f>DATE(2020,6,22)</f>
        <v>44004</v>
      </c>
      <c r="G1690" s="13">
        <v>1999</v>
      </c>
      <c r="H1690" s="13">
        <v>1</v>
      </c>
      <c r="I1690" s="15" t="s">
        <v>15</v>
      </c>
      <c r="J1690" s="15" t="s">
        <v>2710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</row>
    <row r="1691" spans="1:35" s="17" customFormat="1" ht="12" customHeight="1" x14ac:dyDescent="0.3">
      <c r="A1691" s="9">
        <v>1689</v>
      </c>
      <c r="B1691" s="14" t="s">
        <v>3893</v>
      </c>
      <c r="C1691" s="14" t="s">
        <v>3894</v>
      </c>
      <c r="D1691" s="13" t="s">
        <v>77</v>
      </c>
      <c r="E1691" s="14" t="s">
        <v>3893</v>
      </c>
      <c r="F1691" s="20"/>
      <c r="G1691" s="13">
        <v>2024</v>
      </c>
      <c r="H1691" s="13">
        <v>0</v>
      </c>
      <c r="I1691" s="14" t="s">
        <v>24</v>
      </c>
      <c r="J1691" s="14" t="s">
        <v>3895</v>
      </c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</row>
    <row r="1692" spans="1:35" s="17" customFormat="1" ht="12" customHeight="1" x14ac:dyDescent="0.3">
      <c r="A1692" s="9">
        <v>1690</v>
      </c>
      <c r="B1692" s="14" t="s">
        <v>3896</v>
      </c>
      <c r="C1692" s="14" t="s">
        <v>3897</v>
      </c>
      <c r="D1692" s="13" t="s">
        <v>23</v>
      </c>
      <c r="E1692" s="15" t="str">
        <f>B1692</f>
        <v>Zanubrutinib</v>
      </c>
      <c r="F1692" s="20">
        <f>DATE(2019,12,12)</f>
        <v>43811</v>
      </c>
      <c r="G1692" s="13">
        <v>2019</v>
      </c>
      <c r="H1692" s="13">
        <v>1</v>
      </c>
      <c r="I1692" s="15" t="s">
        <v>24</v>
      </c>
      <c r="J1692" s="15" t="s">
        <v>3898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</row>
    <row r="1693" spans="1:35" s="17" customFormat="1" ht="12" customHeight="1" x14ac:dyDescent="0.3">
      <c r="A1693" s="9">
        <v>1691</v>
      </c>
      <c r="B1693" s="14" t="s">
        <v>3899</v>
      </c>
      <c r="C1693" s="14" t="s">
        <v>3900</v>
      </c>
      <c r="D1693" s="13" t="s">
        <v>31</v>
      </c>
      <c r="E1693" s="14" t="s">
        <v>3899</v>
      </c>
      <c r="F1693" s="20">
        <f>DATE(2025,1,12)</f>
        <v>45669</v>
      </c>
      <c r="G1693" s="13">
        <v>2023</v>
      </c>
      <c r="H1693" s="13">
        <v>1</v>
      </c>
      <c r="I1693" s="15" t="s">
        <v>100</v>
      </c>
      <c r="J1693" s="15" t="s">
        <v>3901</v>
      </c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</row>
    <row r="1694" spans="1:35" s="17" customFormat="1" ht="12" customHeight="1" x14ac:dyDescent="0.3">
      <c r="A1694" s="9">
        <v>1692</v>
      </c>
      <c r="B1694" s="14" t="s">
        <v>3902</v>
      </c>
      <c r="C1694" s="14" t="s">
        <v>3903</v>
      </c>
      <c r="D1694" s="13" t="s">
        <v>77</v>
      </c>
      <c r="E1694" s="14" t="s">
        <v>3902</v>
      </c>
      <c r="F1694" s="20"/>
      <c r="G1694" s="13">
        <v>2024</v>
      </c>
      <c r="H1694" s="13">
        <v>0</v>
      </c>
      <c r="I1694" s="14" t="s">
        <v>24</v>
      </c>
      <c r="J1694" s="14" t="s">
        <v>3904</v>
      </c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</row>
    <row r="1695" spans="1:35" s="17" customFormat="1" ht="12" customHeight="1" x14ac:dyDescent="0.3">
      <c r="A1695" s="9">
        <v>1693</v>
      </c>
      <c r="B1695" s="14" t="s">
        <v>3905</v>
      </c>
      <c r="C1695" s="14" t="s">
        <v>3906</v>
      </c>
      <c r="D1695" s="13" t="s">
        <v>44</v>
      </c>
      <c r="E1695" s="15" t="str">
        <f>B1695</f>
        <v>Zidovudine</v>
      </c>
      <c r="F1695" s="20">
        <f>DATE(2020,7,1)</f>
        <v>44013</v>
      </c>
      <c r="G1695" s="13">
        <v>1987</v>
      </c>
      <c r="H1695" s="13">
        <v>1</v>
      </c>
      <c r="I1695" s="15" t="s">
        <v>15</v>
      </c>
      <c r="J1695" s="15" t="s">
        <v>16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</row>
    <row r="1696" spans="1:35" s="17" customFormat="1" ht="12" customHeight="1" x14ac:dyDescent="0.3">
      <c r="A1696" s="9">
        <v>1694</v>
      </c>
      <c r="B1696" s="14" t="s">
        <v>3907</v>
      </c>
      <c r="C1696" s="14" t="s">
        <v>3908</v>
      </c>
      <c r="D1696" s="13" t="s">
        <v>77</v>
      </c>
      <c r="E1696" s="14" t="s">
        <v>3907</v>
      </c>
      <c r="F1696" s="13"/>
      <c r="G1696" s="13">
        <v>2025</v>
      </c>
      <c r="H1696" s="16">
        <v>0</v>
      </c>
      <c r="I1696" s="14" t="s">
        <v>24</v>
      </c>
      <c r="J1696" s="14" t="s">
        <v>1769</v>
      </c>
    </row>
    <row r="1697" spans="1:35" s="17" customFormat="1" ht="12" customHeight="1" x14ac:dyDescent="0.3">
      <c r="A1697" s="9">
        <v>1695</v>
      </c>
      <c r="B1697" s="14" t="s">
        <v>3909</v>
      </c>
      <c r="C1697" s="14" t="s">
        <v>3910</v>
      </c>
      <c r="D1697" s="13" t="s">
        <v>36</v>
      </c>
      <c r="E1697" s="15" t="str">
        <f>B1697</f>
        <v>Zileuton</v>
      </c>
      <c r="F1697" s="20">
        <f>DATE(2020,7,15)</f>
        <v>44027</v>
      </c>
      <c r="G1697" s="13">
        <v>1996</v>
      </c>
      <c r="H1697" s="13">
        <v>1</v>
      </c>
      <c r="I1697" s="15" t="s">
        <v>73</v>
      </c>
      <c r="J1697" s="15" t="s">
        <v>128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</row>
    <row r="1698" spans="1:35" s="17" customFormat="1" ht="12" customHeight="1" x14ac:dyDescent="0.3">
      <c r="A1698" s="9">
        <v>1696</v>
      </c>
      <c r="B1698" s="14" t="s">
        <v>3911</v>
      </c>
      <c r="C1698" s="14" t="s">
        <v>3912</v>
      </c>
      <c r="D1698" s="13" t="s">
        <v>77</v>
      </c>
      <c r="E1698" s="14" t="s">
        <v>3911</v>
      </c>
      <c r="F1698" s="20"/>
      <c r="G1698" s="13">
        <v>2023</v>
      </c>
      <c r="H1698" s="13">
        <v>0</v>
      </c>
      <c r="I1698" s="15" t="s">
        <v>100</v>
      </c>
      <c r="J1698" s="15" t="s">
        <v>1369</v>
      </c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</row>
    <row r="1699" spans="1:35" s="17" customFormat="1" ht="12" customHeight="1" x14ac:dyDescent="0.3">
      <c r="A1699" s="9">
        <v>1697</v>
      </c>
      <c r="B1699" s="14" t="s">
        <v>3913</v>
      </c>
      <c r="C1699" s="14" t="s">
        <v>3914</v>
      </c>
      <c r="D1699" s="13" t="s">
        <v>31</v>
      </c>
      <c r="E1699" s="15" t="str">
        <f>B1699</f>
        <v xml:space="preserve">Zinc </v>
      </c>
      <c r="F1699" s="20">
        <f>DATE(2020,7,25)</f>
        <v>44037</v>
      </c>
      <c r="G1699" s="13" t="s">
        <v>174</v>
      </c>
      <c r="H1699" s="13">
        <v>1</v>
      </c>
      <c r="I1699" s="15" t="s">
        <v>190</v>
      </c>
      <c r="J1699" s="15" t="s">
        <v>198</v>
      </c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</row>
    <row r="1700" spans="1:35" s="17" customFormat="1" ht="12" customHeight="1" x14ac:dyDescent="0.3">
      <c r="A1700" s="9">
        <v>1698</v>
      </c>
      <c r="B1700" s="14" t="s">
        <v>3915</v>
      </c>
      <c r="C1700" s="14" t="s">
        <v>3916</v>
      </c>
      <c r="D1700" s="13" t="s">
        <v>36</v>
      </c>
      <c r="E1700" s="15" t="str">
        <f>B1700</f>
        <v>Ziprasidone</v>
      </c>
      <c r="F1700" s="20">
        <f>DATE(2023,6,5)</f>
        <v>45082</v>
      </c>
      <c r="G1700" s="13">
        <v>2001</v>
      </c>
      <c r="H1700" s="13">
        <v>1</v>
      </c>
      <c r="I1700" s="15" t="s">
        <v>100</v>
      </c>
      <c r="J1700" s="15" t="s">
        <v>328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</row>
    <row r="1701" spans="1:35" s="17" customFormat="1" ht="12" customHeight="1" x14ac:dyDescent="0.3">
      <c r="A1701" s="9">
        <v>1699</v>
      </c>
      <c r="B1701" s="14" t="s">
        <v>3917</v>
      </c>
      <c r="C1701" s="14" t="s">
        <v>3918</v>
      </c>
      <c r="D1701" s="13" t="s">
        <v>77</v>
      </c>
      <c r="E1701" s="14" t="s">
        <v>3917</v>
      </c>
      <c r="F1701" s="20"/>
      <c r="G1701" s="13">
        <v>2024</v>
      </c>
      <c r="H1701" s="13">
        <v>0</v>
      </c>
      <c r="I1701" s="14" t="s">
        <v>24</v>
      </c>
      <c r="J1701" s="14" t="s">
        <v>3919</v>
      </c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</row>
    <row r="1702" spans="1:35" s="17" customFormat="1" ht="12" customHeight="1" x14ac:dyDescent="0.3">
      <c r="A1702" s="9">
        <v>1700</v>
      </c>
      <c r="B1702" s="14" t="s">
        <v>3920</v>
      </c>
      <c r="C1702" s="14" t="s">
        <v>3921</v>
      </c>
      <c r="D1702" s="13" t="s">
        <v>14</v>
      </c>
      <c r="E1702" s="15" t="s">
        <v>143</v>
      </c>
      <c r="F1702" s="20">
        <f>DATE(2018,6,14)</f>
        <v>43265</v>
      </c>
      <c r="G1702" s="13">
        <v>2001</v>
      </c>
      <c r="H1702" s="13">
        <v>1</v>
      </c>
      <c r="I1702" s="15" t="s">
        <v>45</v>
      </c>
      <c r="J1702" s="15" t="s">
        <v>144</v>
      </c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</row>
    <row r="1703" spans="1:35" s="17" customFormat="1" ht="12" customHeight="1" x14ac:dyDescent="0.3">
      <c r="A1703" s="9">
        <v>1701</v>
      </c>
      <c r="B1703" s="14" t="s">
        <v>3922</v>
      </c>
      <c r="C1703" s="14" t="s">
        <v>3923</v>
      </c>
      <c r="D1703" s="13" t="s">
        <v>77</v>
      </c>
      <c r="E1703" s="14" t="s">
        <v>3922</v>
      </c>
      <c r="F1703" s="13"/>
      <c r="G1703" s="13">
        <v>2025</v>
      </c>
      <c r="H1703" s="16">
        <v>0</v>
      </c>
      <c r="I1703" s="14" t="s">
        <v>15</v>
      </c>
      <c r="J1703" s="14" t="s">
        <v>3924</v>
      </c>
    </row>
    <row r="1704" spans="1:35" s="17" customFormat="1" ht="12" customHeight="1" x14ac:dyDescent="0.3">
      <c r="A1704" s="9">
        <v>1702</v>
      </c>
      <c r="B1704" s="14" t="s">
        <v>3925</v>
      </c>
      <c r="C1704" s="14" t="s">
        <v>3926</v>
      </c>
      <c r="D1704" s="13" t="s">
        <v>36</v>
      </c>
      <c r="E1704" s="15" t="s">
        <v>170</v>
      </c>
      <c r="F1704" s="20">
        <f>DATE(2018,6,15)</f>
        <v>43266</v>
      </c>
      <c r="G1704" s="13">
        <v>1997</v>
      </c>
      <c r="H1704" s="13">
        <v>1</v>
      </c>
      <c r="I1704" s="15" t="s">
        <v>100</v>
      </c>
      <c r="J1704" s="15" t="s">
        <v>171</v>
      </c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</row>
    <row r="1705" spans="1:35" s="17" customFormat="1" ht="12" customHeight="1" x14ac:dyDescent="0.3">
      <c r="A1705" s="9">
        <v>1703</v>
      </c>
      <c r="B1705" s="14" t="s">
        <v>3927</v>
      </c>
      <c r="C1705" s="14" t="s">
        <v>3928</v>
      </c>
      <c r="D1705" s="13" t="s">
        <v>31</v>
      </c>
      <c r="E1705" s="15" t="str">
        <f>B1705</f>
        <v>Zolpidem</v>
      </c>
      <c r="F1705" s="20">
        <f>DATE(2018,2,20)</f>
        <v>43151</v>
      </c>
      <c r="G1705" s="13">
        <v>1992</v>
      </c>
      <c r="H1705" s="13">
        <v>1</v>
      </c>
      <c r="I1705" s="15" t="s">
        <v>100</v>
      </c>
      <c r="J1705" s="15" t="s">
        <v>204</v>
      </c>
      <c r="K1705" s="13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</row>
    <row r="1706" spans="1:35" s="17" customFormat="1" ht="12" customHeight="1" x14ac:dyDescent="0.3">
      <c r="A1706" s="9">
        <v>1704</v>
      </c>
      <c r="B1706" s="14" t="s">
        <v>3929</v>
      </c>
      <c r="C1706" s="14" t="s">
        <v>3930</v>
      </c>
      <c r="D1706" s="13" t="s">
        <v>77</v>
      </c>
      <c r="E1706" s="14" t="s">
        <v>3929</v>
      </c>
      <c r="F1706" s="13"/>
      <c r="G1706" s="13">
        <v>2025</v>
      </c>
      <c r="H1706" s="16">
        <v>0</v>
      </c>
      <c r="I1706" s="14" t="s">
        <v>24</v>
      </c>
      <c r="J1706" s="14" t="s">
        <v>624</v>
      </c>
    </row>
    <row r="1707" spans="1:35" s="17" customFormat="1" ht="12" customHeight="1" x14ac:dyDescent="0.3">
      <c r="A1707" s="9">
        <v>1705</v>
      </c>
      <c r="B1707" s="14" t="s">
        <v>3931</v>
      </c>
      <c r="C1707" s="14" t="s">
        <v>3932</v>
      </c>
      <c r="D1707" s="13" t="s">
        <v>36</v>
      </c>
      <c r="E1707" s="15" t="str">
        <f>B1707</f>
        <v>Zonisamide</v>
      </c>
      <c r="F1707" s="20">
        <f>DATE(2020,7,30)</f>
        <v>44042</v>
      </c>
      <c r="G1707" s="13">
        <v>2000</v>
      </c>
      <c r="H1707" s="13">
        <v>1</v>
      </c>
      <c r="I1707" s="15" t="s">
        <v>100</v>
      </c>
      <c r="J1707" s="15" t="s">
        <v>630</v>
      </c>
      <c r="K1707" s="13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</row>
    <row r="1708" spans="1:35" s="21" customFormat="1" ht="12" customHeight="1" x14ac:dyDescent="0.25">
      <c r="A1708" s="9"/>
      <c r="B1708" s="36"/>
      <c r="C1708" s="36"/>
      <c r="D1708" s="37"/>
      <c r="E1708" s="38"/>
      <c r="F1708" s="39"/>
      <c r="G1708" s="37"/>
      <c r="H1708" s="13"/>
      <c r="I1708" s="15"/>
      <c r="J1708" s="15"/>
      <c r="K1708" s="13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</row>
    <row r="1709" spans="1:35" s="21" customFormat="1" ht="12" customHeight="1" x14ac:dyDescent="0.25">
      <c r="A1709" s="9"/>
      <c r="B1709" s="36"/>
      <c r="C1709" s="36"/>
      <c r="D1709" s="37"/>
      <c r="E1709" s="38"/>
      <c r="F1709" s="39"/>
      <c r="G1709" s="37"/>
      <c r="H1709" s="13"/>
      <c r="I1709" s="15"/>
      <c r="J1709" s="15"/>
      <c r="K1709" s="13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</row>
    <row r="1710" spans="1:35" s="13" customFormat="1" ht="12" customHeight="1" thickBot="1" x14ac:dyDescent="0.3">
      <c r="B1710" s="15"/>
      <c r="C1710" s="15"/>
      <c r="E1710" s="15"/>
      <c r="F1710" s="20"/>
    </row>
    <row r="1711" spans="1:35" s="6" customFormat="1" ht="51" customHeight="1" thickBot="1" x14ac:dyDescent="0.4">
      <c r="A1711" s="6" t="s">
        <v>2</v>
      </c>
      <c r="B1711" s="6" t="s">
        <v>3</v>
      </c>
      <c r="C1711" s="6" t="s">
        <v>4</v>
      </c>
      <c r="D1711" s="7" t="s">
        <v>5</v>
      </c>
      <c r="E1711" s="8" t="s">
        <v>6</v>
      </c>
      <c r="F1711" s="6" t="s">
        <v>7</v>
      </c>
      <c r="G1711" s="7" t="s">
        <v>8</v>
      </c>
      <c r="H1711" s="7" t="s">
        <v>9</v>
      </c>
      <c r="I1711" s="7" t="s">
        <v>10</v>
      </c>
      <c r="J1711" s="7" t="s">
        <v>11</v>
      </c>
    </row>
    <row r="1712" spans="1:35" s="17" customFormat="1" ht="17.5" customHeight="1" x14ac:dyDescent="0.3">
      <c r="A1712" s="17">
        <f t="shared" ref="A1712:J1712" si="39">COUNTA(A3:A1710)</f>
        <v>1705</v>
      </c>
      <c r="B1712" s="17">
        <f t="shared" si="39"/>
        <v>1705</v>
      </c>
      <c r="C1712" s="17">
        <f t="shared" si="39"/>
        <v>1705</v>
      </c>
      <c r="D1712" s="17">
        <f t="shared" si="39"/>
        <v>1705</v>
      </c>
      <c r="E1712" s="17">
        <f t="shared" si="39"/>
        <v>1642</v>
      </c>
      <c r="F1712" s="17">
        <f t="shared" si="39"/>
        <v>1524</v>
      </c>
      <c r="G1712" s="17">
        <f t="shared" si="39"/>
        <v>1705</v>
      </c>
      <c r="H1712" s="17">
        <f t="shared" si="39"/>
        <v>1705</v>
      </c>
      <c r="I1712" s="17">
        <f t="shared" si="39"/>
        <v>1705</v>
      </c>
      <c r="J1712" s="17">
        <f t="shared" si="39"/>
        <v>1705</v>
      </c>
    </row>
    <row r="1713" spans="4:10" s="17" customFormat="1" ht="15" customHeight="1" x14ac:dyDescent="0.3">
      <c r="H1713" s="17">
        <f>SUM(H3:H1709)</f>
        <v>1524</v>
      </c>
    </row>
    <row r="1714" spans="4:10" s="17" customFormat="1" ht="12" customHeight="1" x14ac:dyDescent="0.3"/>
    <row r="1715" spans="4:10" s="17" customFormat="1" ht="12" customHeight="1" x14ac:dyDescent="0.3">
      <c r="H1715" s="21" t="s">
        <v>3933</v>
      </c>
    </row>
    <row r="1716" spans="4:10" s="14" customFormat="1" x14ac:dyDescent="0.25">
      <c r="D1716" s="13"/>
      <c r="E1716" s="38"/>
      <c r="F1716" s="13"/>
      <c r="G1716" s="13"/>
      <c r="H1716" s="13" t="s">
        <v>3934</v>
      </c>
      <c r="I1716" s="15"/>
      <c r="J1716" s="15"/>
    </row>
    <row r="1717" spans="4:10" s="14" customFormat="1" x14ac:dyDescent="0.25">
      <c r="D1717" s="13"/>
      <c r="E1717" s="38"/>
      <c r="F1717" s="13"/>
      <c r="G1717" s="13"/>
      <c r="H1717" s="13"/>
      <c r="I1717" s="15"/>
      <c r="J1717" s="15"/>
    </row>
    <row r="1718" spans="4:10" s="14" customFormat="1" x14ac:dyDescent="0.25">
      <c r="D1718" s="13"/>
      <c r="E1718" s="38"/>
      <c r="F1718" s="13"/>
      <c r="G1718" s="13"/>
      <c r="H1718" s="13"/>
      <c r="I1718" s="15"/>
      <c r="J1718" s="15"/>
    </row>
    <row r="1719" spans="4:10" s="14" customFormat="1" x14ac:dyDescent="0.25">
      <c r="D1719" s="13"/>
      <c r="E1719" s="38"/>
      <c r="F1719" s="13"/>
      <c r="G1719" s="13"/>
      <c r="H1719" s="13"/>
      <c r="I1719" s="15"/>
      <c r="J1719" s="15"/>
    </row>
    <row r="1720" spans="4:10" s="14" customFormat="1" x14ac:dyDescent="0.25">
      <c r="D1720" s="13"/>
      <c r="E1720" s="38"/>
      <c r="F1720" s="13"/>
      <c r="G1720" s="13"/>
      <c r="H1720" s="13"/>
      <c r="I1720" s="15"/>
      <c r="J1720" s="15"/>
    </row>
    <row r="1721" spans="4:10" s="14" customFormat="1" x14ac:dyDescent="0.25">
      <c r="D1721" s="13"/>
      <c r="E1721" s="38"/>
      <c r="F1721" s="13"/>
      <c r="G1721" s="13"/>
      <c r="H1721" s="13"/>
      <c r="I1721" s="15"/>
      <c r="J1721" s="15"/>
    </row>
    <row r="1722" spans="4:10" s="14" customFormat="1" x14ac:dyDescent="0.25">
      <c r="D1722" s="13"/>
      <c r="E1722" s="38"/>
      <c r="F1722" s="13"/>
      <c r="G1722" s="13"/>
      <c r="H1722" s="13"/>
      <c r="I1722" s="15"/>
      <c r="J1722" s="15"/>
    </row>
    <row r="1723" spans="4:10" s="14" customFormat="1" x14ac:dyDescent="0.25">
      <c r="D1723" s="13"/>
      <c r="E1723" s="38"/>
      <c r="F1723" s="13"/>
      <c r="G1723" s="13"/>
      <c r="H1723" s="13"/>
      <c r="I1723" s="15"/>
      <c r="J1723" s="15"/>
    </row>
    <row r="1724" spans="4:10" s="14" customFormat="1" x14ac:dyDescent="0.25">
      <c r="D1724" s="13"/>
      <c r="E1724" s="38"/>
      <c r="F1724" s="13"/>
      <c r="G1724" s="13"/>
      <c r="H1724" s="13"/>
      <c r="I1724" s="15"/>
      <c r="J1724" s="15"/>
    </row>
    <row r="1725" spans="4:10" s="14" customFormat="1" x14ac:dyDescent="0.25">
      <c r="D1725" s="13"/>
      <c r="E1725" s="38"/>
      <c r="F1725" s="13"/>
      <c r="G1725" s="13"/>
      <c r="H1725" s="13"/>
      <c r="I1725" s="15"/>
      <c r="J1725" s="15"/>
    </row>
    <row r="1726" spans="4:10" s="14" customFormat="1" x14ac:dyDescent="0.25">
      <c r="D1726" s="13"/>
      <c r="E1726" s="38"/>
      <c r="F1726" s="13"/>
      <c r="G1726" s="13"/>
      <c r="H1726" s="13"/>
      <c r="I1726" s="15"/>
      <c r="J1726" s="15"/>
    </row>
    <row r="1727" spans="4:10" s="14" customFormat="1" x14ac:dyDescent="0.25">
      <c r="D1727" s="13"/>
      <c r="E1727" s="38"/>
      <c r="F1727" s="13"/>
      <c r="G1727" s="13"/>
      <c r="H1727" s="13"/>
      <c r="I1727" s="15"/>
      <c r="J1727" s="15"/>
    </row>
    <row r="1728" spans="4:10" s="14" customFormat="1" x14ac:dyDescent="0.25">
      <c r="D1728" s="13"/>
      <c r="E1728" s="38"/>
      <c r="F1728" s="13"/>
      <c r="G1728" s="13"/>
      <c r="H1728" s="13"/>
      <c r="I1728" s="15"/>
      <c r="J1728" s="15"/>
    </row>
    <row r="1729" spans="4:10" s="14" customFormat="1" x14ac:dyDescent="0.25">
      <c r="D1729" s="13"/>
      <c r="E1729" s="38"/>
      <c r="F1729" s="13"/>
      <c r="G1729" s="13"/>
      <c r="H1729" s="13"/>
      <c r="I1729" s="15"/>
      <c r="J1729" s="15"/>
    </row>
  </sheetData>
  <pageMargins left="0.7" right="0.7" top="0.75" bottom="0.75" header="0.3" footer="0.3"/>
  <pageSetup scale="62" fitToHeight="30" orientation="landscape" r:id="rId1"/>
  <headerFooter>
    <oddHeader>&amp;L&amp;P&amp;C2026 LiverTox Master List&amp;R&amp;D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Hoofnagle, Jay (NIH/NIDDK) [V]</dc:creator>
  <cp:lastModifiedBy>Hoofnagle, Jay (NIH/NIDDK) [V]</cp:lastModifiedBy>
  <cp:lastPrinted>2026-02-04T21:43:56Z</cp:lastPrinted>
  <dcterms:created xsi:type="dcterms:W3CDTF">2026-02-04T21:41:57Z</dcterms:created>
  <dcterms:modified xsi:type="dcterms:W3CDTF">2026-02-04T21:45:27Z</dcterms:modified>
</cp:coreProperties>
</file>